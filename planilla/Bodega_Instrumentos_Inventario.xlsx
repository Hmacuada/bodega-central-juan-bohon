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eme" state="visible" r:id="rId4"/>
    <sheet sheetId="2" name="Inventario" state="visible" r:id="rId5"/>
    <sheet sheetId="3" name="Prestamos" state="visible" r:id="rId6"/>
    <sheet sheetId="4" name="Resumen" state="visible" r:id="rId7"/>
  </sheets>
  <calcPr calcId="171027"/>
</workbook>
</file>

<file path=xl/sharedStrings.xml><?xml version="1.0" encoding="utf-8"?>
<sst xmlns="http://schemas.openxmlformats.org/spreadsheetml/2006/main" count="75" uniqueCount="65">
  <si>
    <t>Bodega central de instrumentos - planilla prototipo</t>
  </si>
  <si>
    <t/>
  </si>
  <si>
    <t>Que es esto</t>
  </si>
  <si>
    <t>Prototipo de planilla para inventariar instrumentos y controlar prestamos entre carreras.</t>
  </si>
  <si>
    <t>Pensada para usarse junto con la propuesta (documento de la reunion docente).</t>
  </si>
  <si>
    <t>Como usarla</t>
  </si>
  <si>
    <t>1. Hoja 'Inventario': un instrumento por fila. La fila 3 es un EJEMPLO, no un instrumento real: borrarla o editarla.</t>
  </si>
  <si>
    <t>2. Hoja 'Prestamos': un prestamo por fila, usando el mismo ID de instrumento del inventario.</t>
  </si>
  <si>
    <t>3. Hoja 'Resumen': se actualiza sola con formulas; no escribir nada ahi.</t>
  </si>
  <si>
    <t>Que completar a mano (en celdas blancas)</t>
  </si>
  <si>
    <t>- Inventario: ID, Instrumento, Marca / modelo, Categoria, Carrera de origen, Estado fisico, Zona, Fecha de ingreso, Observaciones.</t>
  </si>
  <si>
    <t>- Prestamos: ID prestamo, ID instrumento, Carrera solicitante, Solicitado por, Fecha de entrega, Fecha de devolucion estimada, Fecha de devolucion real, Estado al devolver, Observaciones.</t>
  </si>
  <si>
    <t>Que se calcula solo (celdas grises, no tocar)</t>
  </si>
  <si>
    <t>- Inventario &gt; Disponibilidad: dice 'Prestado' si hay un prestamo activo con ese ID, si no 'Disponible'.</t>
  </si>
  <si>
    <t>- Prestamos &gt; Instrumento: trae el nombre desde Inventario segun el ID.</t>
  </si>
  <si>
    <t>- Prestamos &gt; Estado del prestamo: 'Activo', 'Atrasado' (paso la fecha estimada) o 'Devuelto'.</t>
  </si>
  <si>
    <t>- Resumen: totales y conteos por categoria y por estado.</t>
  </si>
  <si>
    <t>Inventario de instrumentos</t>
  </si>
  <si>
    <t>ID</t>
  </si>
  <si>
    <t>Instrumento</t>
  </si>
  <si>
    <t>Marca / modelo</t>
  </si>
  <si>
    <t>Categoria</t>
  </si>
  <si>
    <t>Carrera de origen</t>
  </si>
  <si>
    <t>Estado fisico</t>
  </si>
  <si>
    <t>Zona en bodega</t>
  </si>
  <si>
    <t>Disponibilidad</t>
  </si>
  <si>
    <t>Fecha de ingreso</t>
  </si>
  <si>
    <t>Observaciones</t>
  </si>
  <si>
    <t>INS-001</t>
  </si>
  <si>
    <t>Estacion total</t>
  </si>
  <si>
    <t>Leica TS06</t>
  </si>
  <si>
    <t>Topografia</t>
  </si>
  <si>
    <t>Bueno</t>
  </si>
  <si>
    <t>2024-03-10</t>
  </si>
  <si>
    <t>Ejemplo - reemplazar o borrar</t>
  </si>
  <si>
    <t>Disponibilidad se calcula sola a partir de la hoja Prestamos. No escribir en esa columna.</t>
  </si>
  <si>
    <t>Control de prestamos</t>
  </si>
  <si>
    <t>ID prestamo</t>
  </si>
  <si>
    <t>ID instrumento</t>
  </si>
  <si>
    <t>Carrera solicitante</t>
  </si>
  <si>
    <t>Solicitado por</t>
  </si>
  <si>
    <t>Fecha de entrega</t>
  </si>
  <si>
    <t>Fecha devolucion estimada</t>
  </si>
  <si>
    <t>Fecha devolucion real</t>
  </si>
  <si>
    <t>Estado del prestamo</t>
  </si>
  <si>
    <t>Estado al devolver</t>
  </si>
  <si>
    <t>PR-001</t>
  </si>
  <si>
    <t>Mineria y Metalurgia</t>
  </si>
  <si>
    <t>Pedro Soto</t>
  </si>
  <si>
    <t>2024-03-15</t>
  </si>
  <si>
    <t>2024-03-29</t>
  </si>
  <si>
    <t>Instrumento y Estado del prestamo se calculan solos. No escribir en esas columnas.</t>
  </si>
  <si>
    <t>Resumen (se actualiza solo)</t>
  </si>
  <si>
    <t>Total instrumentos registrados</t>
  </si>
  <si>
    <t>Instrumentos disponibles</t>
  </si>
  <si>
    <t>Instrumentos prestados</t>
  </si>
  <si>
    <t>Prestamos activos</t>
  </si>
  <si>
    <t>Prestamos atrasados</t>
  </si>
  <si>
    <t>Prestamos devueltos</t>
  </si>
  <si>
    <t>Instrumentos por categoria</t>
  </si>
  <si>
    <t>Instrumentacion y control</t>
  </si>
  <si>
    <t>Electrica</t>
  </si>
  <si>
    <t>Mecanica</t>
  </si>
  <si>
    <t>Mineria y metalurgia</t>
  </si>
  <si>
    <t>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</si>
</sst>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9" x14ac:knownFonts="1">
    <font>
      <color theme="1"/>
      <family val="2"/>
      <scheme val="minor"/>
      <sz val="11"/>
      <name val="Calibri"/>
    </font>
    <font>
      <b/>
      <color rgb="FF2F5496"/>
      <sz val="14"/>
      <name val="Arial"/>
    </font>
    <font>
      <sz val="10"/>
      <name val="Arial"/>
    </font>
    <font>
      <b/>
      <sz val="12"/>
      <name val="Arial"/>
    </font>
    <font>
      <b/>
      <color rgb="FFFFFFFF"/>
      <sz val="11"/>
      <name val="Arial"/>
    </font>
    <font>
      <i/>
      <color rgb="FF595959"/>
      <sz val="10"/>
      <name val="Arial"/>
    </font>
    <font>
      <i/>
      <color rgb="FF808080"/>
      <sz val="9"/>
      <name val="Arial"/>
    </font>
    <font>
      <b/>
      <sz val="10"/>
      <name val="Arial"/>
    </font>
    <font>
      <b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1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/>
    <xf numFmtId="0" fontId="2" fillId="0" borderId="1" xfId="0" applyFont="1" applyBorder="1"/>
    <xf numFmtId="0" fontId="6" fillId="0" borderId="0" xfId="0" applyFont="1"/>
    <xf numFmtId="164" fontId="5" fillId="3" borderId="1" xfId="0" applyNumberFormat="1" applyFont="1" applyFill="1" applyBorder="1"/>
    <xf numFmtId="164" fontId="2" fillId="0" borderId="1" xfId="0" applyNumberFormat="1" applyFont="1" applyBorder="1"/>
    <xf numFmtId="0" fontId="2" fillId="0" borderId="0" xfId="0" applyFont="1"/>
    <xf numFmtId="0" fontId="7" fillId="0" borderId="0" xfId="0" applyFont="1" applyAlignment="1">
      <alignment horizontal="center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Views>
    <sheetView workbookViewId="0" showGridLines="0"/>
  </sheetViews>
  <sheetFormatPr defaultRowHeight="15" outlineLevelRow="0" outlineLevelCol="0" x14ac:dyDescent="55"/>
  <cols>
    <col min="1" max="1" width="95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3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1</v>
      </c>
    </row>
    <row r="7" spans="1:1" x14ac:dyDescent="0.25">
      <c r="A7" s="3" t="s">
        <v>5</v>
      </c>
    </row>
    <row r="8" spans="1:1" x14ac:dyDescent="0.25">
      <c r="A8" s="2" t="s">
        <v>6</v>
      </c>
    </row>
    <row r="9" spans="1:1" x14ac:dyDescent="0.25">
      <c r="A9" s="2" t="s">
        <v>7</v>
      </c>
    </row>
    <row r="10" spans="1:1" x14ac:dyDescent="0.25">
      <c r="A10" s="2" t="s">
        <v>8</v>
      </c>
    </row>
    <row r="11" spans="1:1" x14ac:dyDescent="0.25">
      <c r="A11" s="2" t="s">
        <v>1</v>
      </c>
    </row>
    <row r="12" spans="1:1" x14ac:dyDescent="0.25">
      <c r="A12" s="3" t="s">
        <v>9</v>
      </c>
    </row>
    <row r="13" spans="1:1" x14ac:dyDescent="0.25">
      <c r="A13" s="2" t="s">
        <v>10</v>
      </c>
    </row>
    <row r="14" spans="1:1" x14ac:dyDescent="0.25">
      <c r="A14" s="2" t="s">
        <v>11</v>
      </c>
    </row>
    <row r="15" spans="1:1" x14ac:dyDescent="0.25">
      <c r="A15" s="2" t="s">
        <v>1</v>
      </c>
    </row>
    <row r="16" spans="1:1" x14ac:dyDescent="0.25">
      <c r="A16" s="3" t="s">
        <v>12</v>
      </c>
    </row>
    <row r="17" spans="1:1" x14ac:dyDescent="0.25">
      <c r="A17" s="2" t="s">
        <v>13</v>
      </c>
    </row>
    <row r="18" spans="1:1" x14ac:dyDescent="0.25">
      <c r="A18" s="2" t="s">
        <v>14</v>
      </c>
    </row>
    <row r="19" spans="1:1" x14ac:dyDescent="0.25">
      <c r="A19" s="2" t="s">
        <v>15</v>
      </c>
    </row>
    <row r="20" spans="1:1" x14ac:dyDescent="0.25">
      <c r="A20" s="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5"/>
  <sheetViews>
    <sheetView workbookViewId="0" showGridLines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0" customWidth="1"/>
    <col min="3" max="3" width="18" customWidth="1"/>
    <col min="4" max="4" width="14" customWidth="1"/>
    <col min="5" max="5" width="18" customWidth="1"/>
    <col min="6" max="6" width="16" customWidth="1"/>
    <col min="7" max="7" width="20" customWidth="1"/>
    <col min="8" max="9" width="14" customWidth="1"/>
    <col min="10" max="10" width="28" customWidth="1"/>
  </cols>
  <sheetData>
    <row r="1" ht="22" customHeight="1" spans="1:10" x14ac:dyDescent="0.25">
      <c r="A1" s="4" t="s">
        <v>17</v>
      </c>
      <c r="B1" s="4"/>
      <c r="C1" s="4"/>
      <c r="D1" s="4"/>
      <c r="E1" s="4"/>
      <c r="F1" s="4"/>
      <c r="G1" s="4"/>
      <c r="H1" s="4"/>
      <c r="I1" s="4"/>
      <c r="J1" s="4"/>
    </row>
    <row r="2" ht="30" customHeight="1" spans="1:10" x14ac:dyDescent="0.25">
      <c r="A2" s="5" t="s">
        <v>18</v>
      </c>
      <c r="B2" s="5" t="s">
        <v>19</v>
      </c>
      <c r="C2" s="5" t="s">
        <v>20</v>
      </c>
      <c r="D2" s="5" t="s">
        <v>21</v>
      </c>
      <c r="E2" s="5" t="s">
        <v>22</v>
      </c>
      <c r="F2" s="5" t="s">
        <v>23</v>
      </c>
      <c r="G2" s="5" t="s">
        <v>24</v>
      </c>
      <c r="H2" s="5" t="s">
        <v>25</v>
      </c>
      <c r="I2" s="5" t="s">
        <v>26</v>
      </c>
      <c r="J2" s="5" t="s">
        <v>27</v>
      </c>
    </row>
    <row r="3" spans="1:10" x14ac:dyDescent="0.25">
      <c r="A3" s="6" t="s">
        <v>28</v>
      </c>
      <c r="B3" s="6" t="s">
        <v>29</v>
      </c>
      <c r="C3" s="6" t="s">
        <v>30</v>
      </c>
      <c r="D3" s="6" t="s">
        <v>31</v>
      </c>
      <c r="E3" s="6" t="s">
        <v>31</v>
      </c>
      <c r="F3" s="6" t="s">
        <v>32</v>
      </c>
      <c r="G3" s="6" t="s">
        <v>31</v>
      </c>
      <c r="H3" s="6">
        <f>IFERROR(IF(COUNTIFS(Prestamos!$B$4:$B$103,$A3,Prestamos!$I$4:$I$103,"Activo")&gt;0,"Prestado","Disponible"),"Disponible")</f>
      </c>
      <c r="I3" s="6" t="s">
        <v>33</v>
      </c>
      <c r="J3" s="6" t="s">
        <v>34</v>
      </c>
    </row>
    <row r="4" spans="1:10" x14ac:dyDescent="0.25">
      <c r="A4" s="7"/>
      <c r="B4" s="7"/>
      <c r="C4" s="7"/>
      <c r="D4" s="7"/>
      <c r="E4" s="7"/>
      <c r="F4" s="7"/>
      <c r="G4" s="7"/>
      <c r="H4" s="7">
        <f>IF($A4="","",IFERROR(IF(COUNTIFS(Prestamos!$B$4:$B$103,$A4,Prestamos!$I$4:$I$103,"Activo")&gt;0,"Prestado","Disponible"),"Disponible"))</f>
      </c>
      <c r="I4" s="7"/>
      <c r="J4" s="7"/>
    </row>
    <row r="5" spans="1:10" x14ac:dyDescent="0.25">
      <c r="A5" s="7"/>
      <c r="B5" s="7"/>
      <c r="C5" s="7"/>
      <c r="D5" s="7"/>
      <c r="E5" s="7"/>
      <c r="F5" s="7"/>
      <c r="G5" s="7"/>
      <c r="H5" s="7">
        <f>IF($A5="","",IFERROR(IF(COUNTIFS(Prestamos!$B$4:$B$103,$A5,Prestamos!$I$4:$I$103,"Activo")&gt;0,"Prestado","Disponible"),"Disponible"))</f>
      </c>
      <c r="I5" s="7"/>
      <c r="J5" s="7"/>
    </row>
    <row r="6" spans="1:10" x14ac:dyDescent="0.25">
      <c r="A6" s="7"/>
      <c r="B6" s="7"/>
      <c r="C6" s="7"/>
      <c r="D6" s="7"/>
      <c r="E6" s="7"/>
      <c r="F6" s="7"/>
      <c r="G6" s="7"/>
      <c r="H6" s="7">
        <f>IF($A6="","",IFERROR(IF(COUNTIFS(Prestamos!$B$4:$B$103,$A6,Prestamos!$I$4:$I$103,"Activo")&gt;0,"Prestado","Disponible"),"Disponible"))</f>
      </c>
      <c r="I6" s="7"/>
      <c r="J6" s="7"/>
    </row>
    <row r="7" spans="1:10" x14ac:dyDescent="0.25">
      <c r="A7" s="7"/>
      <c r="B7" s="7"/>
      <c r="C7" s="7"/>
      <c r="D7" s="7"/>
      <c r="E7" s="7"/>
      <c r="F7" s="7"/>
      <c r="G7" s="7"/>
      <c r="H7" s="7">
        <f>IF($A7="","",IFERROR(IF(COUNTIFS(Prestamos!$B$4:$B$103,$A7,Prestamos!$I$4:$I$103,"Activo")&gt;0,"Prestado","Disponible"),"Disponible"))</f>
      </c>
      <c r="I7" s="7"/>
      <c r="J7" s="7"/>
    </row>
    <row r="8" spans="1:10" x14ac:dyDescent="0.25">
      <c r="A8" s="7"/>
      <c r="B8" s="7"/>
      <c r="C8" s="7"/>
      <c r="D8" s="7"/>
      <c r="E8" s="7"/>
      <c r="F8" s="7"/>
      <c r="G8" s="7"/>
      <c r="H8" s="7">
        <f>IF($A8="","",IFERROR(IF(COUNTIFS(Prestamos!$B$4:$B$103,$A8,Prestamos!$I$4:$I$103,"Activo")&gt;0,"Prestado","Disponible"),"Disponible"))</f>
      </c>
      <c r="I8" s="7"/>
      <c r="J8" s="7"/>
    </row>
    <row r="9" spans="1:10" x14ac:dyDescent="0.25">
      <c r="A9" s="7"/>
      <c r="B9" s="7"/>
      <c r="C9" s="7"/>
      <c r="D9" s="7"/>
      <c r="E9" s="7"/>
      <c r="F9" s="7"/>
      <c r="G9" s="7"/>
      <c r="H9" s="7">
        <f>IF($A9="","",IFERROR(IF(COUNTIFS(Prestamos!$B$4:$B$103,$A9,Prestamos!$I$4:$I$103,"Activo")&gt;0,"Prestado","Disponible"),"Disponible"))</f>
      </c>
      <c r="I9" s="7"/>
      <c r="J9" s="7"/>
    </row>
    <row r="10" spans="1:10" x14ac:dyDescent="0.25">
      <c r="A10" s="7"/>
      <c r="B10" s="7"/>
      <c r="C10" s="7"/>
      <c r="D10" s="7"/>
      <c r="E10" s="7"/>
      <c r="F10" s="7"/>
      <c r="G10" s="7"/>
      <c r="H10" s="7">
        <f>IF($A10="","",IFERROR(IF(COUNTIFS(Prestamos!$B$4:$B$103,$A10,Prestamos!$I$4:$I$103,"Activo")&gt;0,"Prestado","Disponible"),"Disponible"))</f>
      </c>
      <c r="I10" s="7"/>
      <c r="J10" s="7"/>
    </row>
    <row r="11" spans="1:10" x14ac:dyDescent="0.25">
      <c r="A11" s="7"/>
      <c r="B11" s="7"/>
      <c r="C11" s="7"/>
      <c r="D11" s="7"/>
      <c r="E11" s="7"/>
      <c r="F11" s="7"/>
      <c r="G11" s="7"/>
      <c r="H11" s="7">
        <f>IF($A11="","",IFERROR(IF(COUNTIFS(Prestamos!$B$4:$B$103,$A11,Prestamos!$I$4:$I$103,"Activo")&gt;0,"Prestado","Disponible"),"Disponible"))</f>
      </c>
      <c r="I11" s="7"/>
      <c r="J11" s="7"/>
    </row>
    <row r="12" spans="1:10" x14ac:dyDescent="0.25">
      <c r="A12" s="7"/>
      <c r="B12" s="7"/>
      <c r="C12" s="7"/>
      <c r="D12" s="7"/>
      <c r="E12" s="7"/>
      <c r="F12" s="7"/>
      <c r="G12" s="7"/>
      <c r="H12" s="7">
        <f>IF($A12="","",IFERROR(IF(COUNTIFS(Prestamos!$B$4:$B$103,$A12,Prestamos!$I$4:$I$103,"Activo")&gt;0,"Prestado","Disponible"),"Disponible"))</f>
      </c>
      <c r="I12" s="7"/>
      <c r="J12" s="7"/>
    </row>
    <row r="13" spans="1:10" x14ac:dyDescent="0.25">
      <c r="A13" s="7"/>
      <c r="B13" s="7"/>
      <c r="C13" s="7"/>
      <c r="D13" s="7"/>
      <c r="E13" s="7"/>
      <c r="F13" s="7"/>
      <c r="G13" s="7"/>
      <c r="H13" s="7">
        <f>IF($A13="","",IFERROR(IF(COUNTIFS(Prestamos!$B$4:$B$103,$A13,Prestamos!$I$4:$I$103,"Activo")&gt;0,"Prestado","Disponible"),"Disponible"))</f>
      </c>
      <c r="I13" s="7"/>
      <c r="J13" s="7"/>
    </row>
    <row r="14" spans="1:10" x14ac:dyDescent="0.25">
      <c r="A14" s="7"/>
      <c r="B14" s="7"/>
      <c r="C14" s="7"/>
      <c r="D14" s="7"/>
      <c r="E14" s="7"/>
      <c r="F14" s="7"/>
      <c r="G14" s="7"/>
      <c r="H14" s="7">
        <f>IF($A14="","",IFERROR(IF(COUNTIFS(Prestamos!$B$4:$B$103,$A14,Prestamos!$I$4:$I$103,"Activo")&gt;0,"Prestado","Disponible"),"Disponible"))</f>
      </c>
      <c r="I14" s="7"/>
      <c r="J14" s="7"/>
    </row>
    <row r="15" spans="1:10" x14ac:dyDescent="0.25">
      <c r="A15" s="7"/>
      <c r="B15" s="7"/>
      <c r="C15" s="7"/>
      <c r="D15" s="7"/>
      <c r="E15" s="7"/>
      <c r="F15" s="7"/>
      <c r="G15" s="7"/>
      <c r="H15" s="7">
        <f>IF($A15="","",IFERROR(IF(COUNTIFS(Prestamos!$B$4:$B$103,$A15,Prestamos!$I$4:$I$103,"Activo")&gt;0,"Prestado","Disponible"),"Disponible"))</f>
      </c>
      <c r="I15" s="7"/>
      <c r="J15" s="7"/>
    </row>
    <row r="16" spans="1:10" x14ac:dyDescent="0.25">
      <c r="A16" s="7"/>
      <c r="B16" s="7"/>
      <c r="C16" s="7"/>
      <c r="D16" s="7"/>
      <c r="E16" s="7"/>
      <c r="F16" s="7"/>
      <c r="G16" s="7"/>
      <c r="H16" s="7">
        <f>IF($A16="","",IFERROR(IF(COUNTIFS(Prestamos!$B$4:$B$103,$A16,Prestamos!$I$4:$I$103,"Activo")&gt;0,"Prestado","Disponible"),"Disponible"))</f>
      </c>
      <c r="I16" s="7"/>
      <c r="J16" s="7"/>
    </row>
    <row r="17" spans="1:10" x14ac:dyDescent="0.25">
      <c r="A17" s="7"/>
      <c r="B17" s="7"/>
      <c r="C17" s="7"/>
      <c r="D17" s="7"/>
      <c r="E17" s="7"/>
      <c r="F17" s="7"/>
      <c r="G17" s="7"/>
      <c r="H17" s="7">
        <f>IF($A17="","",IFERROR(IF(COUNTIFS(Prestamos!$B$4:$B$103,$A17,Prestamos!$I$4:$I$103,"Activo")&gt;0,"Prestado","Disponible"),"Disponible"))</f>
      </c>
      <c r="I17" s="7"/>
      <c r="J17" s="7"/>
    </row>
    <row r="18" spans="1:10" x14ac:dyDescent="0.25">
      <c r="A18" s="7"/>
      <c r="B18" s="7"/>
      <c r="C18" s="7"/>
      <c r="D18" s="7"/>
      <c r="E18" s="7"/>
      <c r="F18" s="7"/>
      <c r="G18" s="7"/>
      <c r="H18" s="7">
        <f>IF($A18="","",IFERROR(IF(COUNTIFS(Prestamos!$B$4:$B$103,$A18,Prestamos!$I$4:$I$103,"Activo")&gt;0,"Prestado","Disponible"),"Disponible"))</f>
      </c>
      <c r="I18" s="7"/>
      <c r="J18" s="7"/>
    </row>
    <row r="19" spans="1:10" x14ac:dyDescent="0.25">
      <c r="A19" s="7"/>
      <c r="B19" s="7"/>
      <c r="C19" s="7"/>
      <c r="D19" s="7"/>
      <c r="E19" s="7"/>
      <c r="F19" s="7"/>
      <c r="G19" s="7"/>
      <c r="H19" s="7">
        <f>IF($A19="","",IFERROR(IF(COUNTIFS(Prestamos!$B$4:$B$103,$A19,Prestamos!$I$4:$I$103,"Activo")&gt;0,"Prestado","Disponible"),"Disponible"))</f>
      </c>
      <c r="I19" s="7"/>
      <c r="J19" s="7"/>
    </row>
    <row r="20" spans="1:10" x14ac:dyDescent="0.25">
      <c r="A20" s="7"/>
      <c r="B20" s="7"/>
      <c r="C20" s="7"/>
      <c r="D20" s="7"/>
      <c r="E20" s="7"/>
      <c r="F20" s="7"/>
      <c r="G20" s="7"/>
      <c r="H20" s="7">
        <f>IF($A20="","",IFERROR(IF(COUNTIFS(Prestamos!$B$4:$B$103,$A20,Prestamos!$I$4:$I$103,"Activo")&gt;0,"Prestado","Disponible"),"Disponible"))</f>
      </c>
      <c r="I20" s="7"/>
      <c r="J20" s="7"/>
    </row>
    <row r="21" spans="1:10" x14ac:dyDescent="0.25">
      <c r="A21" s="7"/>
      <c r="B21" s="7"/>
      <c r="C21" s="7"/>
      <c r="D21" s="7"/>
      <c r="E21" s="7"/>
      <c r="F21" s="7"/>
      <c r="G21" s="7"/>
      <c r="H21" s="7">
        <f>IF($A21="","",IFERROR(IF(COUNTIFS(Prestamos!$B$4:$B$103,$A21,Prestamos!$I$4:$I$103,"Activo")&gt;0,"Prestado","Disponible"),"Disponible"))</f>
      </c>
      <c r="I21" s="7"/>
      <c r="J21" s="7"/>
    </row>
    <row r="22" spans="1:10" x14ac:dyDescent="0.25">
      <c r="A22" s="7"/>
      <c r="B22" s="7"/>
      <c r="C22" s="7"/>
      <c r="D22" s="7"/>
      <c r="E22" s="7"/>
      <c r="F22" s="7"/>
      <c r="G22" s="7"/>
      <c r="H22" s="7">
        <f>IF($A22="","",IFERROR(IF(COUNTIFS(Prestamos!$B$4:$B$103,$A22,Prestamos!$I$4:$I$103,"Activo")&gt;0,"Prestado","Disponible"),"Disponible"))</f>
      </c>
      <c r="I22" s="7"/>
      <c r="J22" s="7"/>
    </row>
    <row r="23" spans="1:10" x14ac:dyDescent="0.25">
      <c r="A23" s="7"/>
      <c r="B23" s="7"/>
      <c r="C23" s="7"/>
      <c r="D23" s="7"/>
      <c r="E23" s="7"/>
      <c r="F23" s="7"/>
      <c r="G23" s="7"/>
      <c r="H23" s="7">
        <f>IF($A23="","",IFERROR(IF(COUNTIFS(Prestamos!$B$4:$B$103,$A23,Prestamos!$I$4:$I$103,"Activo")&gt;0,"Prestado","Disponible"),"Disponible"))</f>
      </c>
      <c r="I23" s="7"/>
      <c r="J23" s="7"/>
    </row>
    <row r="24" spans="1:10" x14ac:dyDescent="0.25">
      <c r="A24" s="7"/>
      <c r="B24" s="7"/>
      <c r="C24" s="7"/>
      <c r="D24" s="7"/>
      <c r="E24" s="7"/>
      <c r="F24" s="7"/>
      <c r="G24" s="7"/>
      <c r="H24" s="7">
        <f>IF($A24="","",IFERROR(IF(COUNTIFS(Prestamos!$B$4:$B$103,$A24,Prestamos!$I$4:$I$103,"Activo")&gt;0,"Prestado","Disponible"),"Disponible"))</f>
      </c>
      <c r="I24" s="7"/>
      <c r="J24" s="7"/>
    </row>
    <row r="25" spans="1:10" x14ac:dyDescent="0.25">
      <c r="A25" s="7"/>
      <c r="B25" s="7"/>
      <c r="C25" s="7"/>
      <c r="D25" s="7"/>
      <c r="E25" s="7"/>
      <c r="F25" s="7"/>
      <c r="G25" s="7"/>
      <c r="H25" s="7">
        <f>IF($A25="","",IFERROR(IF(COUNTIFS(Prestamos!$B$4:$B$103,$A25,Prestamos!$I$4:$I$103,"Activo")&gt;0,"Prestado","Disponible"),"Disponible"))</f>
      </c>
      <c r="I25" s="7"/>
      <c r="J25" s="7"/>
    </row>
    <row r="26" spans="1:10" x14ac:dyDescent="0.25">
      <c r="A26" s="7"/>
      <c r="B26" s="7"/>
      <c r="C26" s="7"/>
      <c r="D26" s="7"/>
      <c r="E26" s="7"/>
      <c r="F26" s="7"/>
      <c r="G26" s="7"/>
      <c r="H26" s="7">
        <f>IF($A26="","",IFERROR(IF(COUNTIFS(Prestamos!$B$4:$B$103,$A26,Prestamos!$I$4:$I$103,"Activo")&gt;0,"Prestado","Disponible"),"Disponible"))</f>
      </c>
      <c r="I26" s="7"/>
      <c r="J26" s="7"/>
    </row>
    <row r="27" spans="1:10" x14ac:dyDescent="0.25">
      <c r="A27" s="7"/>
      <c r="B27" s="7"/>
      <c r="C27" s="7"/>
      <c r="D27" s="7"/>
      <c r="E27" s="7"/>
      <c r="F27" s="7"/>
      <c r="G27" s="7"/>
      <c r="H27" s="7">
        <f>IF($A27="","",IFERROR(IF(COUNTIFS(Prestamos!$B$4:$B$103,$A27,Prestamos!$I$4:$I$103,"Activo")&gt;0,"Prestado","Disponible"),"Disponible"))</f>
      </c>
      <c r="I27" s="7"/>
      <c r="J27" s="7"/>
    </row>
    <row r="28" spans="1:10" x14ac:dyDescent="0.25">
      <c r="A28" s="7"/>
      <c r="B28" s="7"/>
      <c r="C28" s="7"/>
      <c r="D28" s="7"/>
      <c r="E28" s="7"/>
      <c r="F28" s="7"/>
      <c r="G28" s="7"/>
      <c r="H28" s="7">
        <f>IF($A28="","",IFERROR(IF(COUNTIFS(Prestamos!$B$4:$B$103,$A28,Prestamos!$I$4:$I$103,"Activo")&gt;0,"Prestado","Disponible"),"Disponible"))</f>
      </c>
      <c r="I28" s="7"/>
      <c r="J28" s="7"/>
    </row>
    <row r="29" spans="1:10" x14ac:dyDescent="0.25">
      <c r="A29" s="7"/>
      <c r="B29" s="7"/>
      <c r="C29" s="7"/>
      <c r="D29" s="7"/>
      <c r="E29" s="7"/>
      <c r="F29" s="7"/>
      <c r="G29" s="7"/>
      <c r="H29" s="7">
        <f>IF($A29="","",IFERROR(IF(COUNTIFS(Prestamos!$B$4:$B$103,$A29,Prestamos!$I$4:$I$103,"Activo")&gt;0,"Prestado","Disponible"),"Disponible"))</f>
      </c>
      <c r="I29" s="7"/>
      <c r="J29" s="7"/>
    </row>
    <row r="30" spans="1:10" x14ac:dyDescent="0.25">
      <c r="A30" s="7"/>
      <c r="B30" s="7"/>
      <c r="C30" s="7"/>
      <c r="D30" s="7"/>
      <c r="E30" s="7"/>
      <c r="F30" s="7"/>
      <c r="G30" s="7"/>
      <c r="H30" s="7">
        <f>IF($A30="","",IFERROR(IF(COUNTIFS(Prestamos!$B$4:$B$103,$A30,Prestamos!$I$4:$I$103,"Activo")&gt;0,"Prestado","Disponible"),"Disponible"))</f>
      </c>
      <c r="I30" s="7"/>
      <c r="J30" s="7"/>
    </row>
    <row r="31" spans="1:10" x14ac:dyDescent="0.25">
      <c r="A31" s="7"/>
      <c r="B31" s="7"/>
      <c r="C31" s="7"/>
      <c r="D31" s="7"/>
      <c r="E31" s="7"/>
      <c r="F31" s="7"/>
      <c r="G31" s="7"/>
      <c r="H31" s="7">
        <f>IF($A31="","",IFERROR(IF(COUNTIFS(Prestamos!$B$4:$B$103,$A31,Prestamos!$I$4:$I$103,"Activo")&gt;0,"Prestado","Disponible"),"Disponible"))</f>
      </c>
      <c r="I31" s="7"/>
      <c r="J31" s="7"/>
    </row>
    <row r="32" spans="1:10" x14ac:dyDescent="0.25">
      <c r="A32" s="7"/>
      <c r="B32" s="7"/>
      <c r="C32" s="7"/>
      <c r="D32" s="7"/>
      <c r="E32" s="7"/>
      <c r="F32" s="7"/>
      <c r="G32" s="7"/>
      <c r="H32" s="7">
        <f>IF($A32="","",IFERROR(IF(COUNTIFS(Prestamos!$B$4:$B$103,$A32,Prestamos!$I$4:$I$103,"Activo")&gt;0,"Prestado","Disponible"),"Disponible"))</f>
      </c>
      <c r="I32" s="7"/>
      <c r="J32" s="7"/>
    </row>
    <row r="33" spans="1:10" x14ac:dyDescent="0.25">
      <c r="A33" s="7"/>
      <c r="B33" s="7"/>
      <c r="C33" s="7"/>
      <c r="D33" s="7"/>
      <c r="E33" s="7"/>
      <c r="F33" s="7"/>
      <c r="G33" s="7"/>
      <c r="H33" s="7">
        <f>IF($A33="","",IFERROR(IF(COUNTIFS(Prestamos!$B$4:$B$103,$A33,Prestamos!$I$4:$I$103,"Activo")&gt;0,"Prestado","Disponible"),"Disponible"))</f>
      </c>
      <c r="I33" s="7"/>
      <c r="J33" s="7"/>
    </row>
    <row r="34" spans="1:10" x14ac:dyDescent="0.25">
      <c r="A34" s="7"/>
      <c r="B34" s="7"/>
      <c r="C34" s="7"/>
      <c r="D34" s="7"/>
      <c r="E34" s="7"/>
      <c r="F34" s="7"/>
      <c r="G34" s="7"/>
      <c r="H34" s="7">
        <f>IF($A34="","",IFERROR(IF(COUNTIFS(Prestamos!$B$4:$B$103,$A34,Prestamos!$I$4:$I$103,"Activo")&gt;0,"Prestado","Disponible"),"Disponible"))</f>
      </c>
      <c r="I34" s="7"/>
      <c r="J34" s="7"/>
    </row>
    <row r="35" spans="1:10" x14ac:dyDescent="0.25">
      <c r="A35" s="7"/>
      <c r="B35" s="7"/>
      <c r="C35" s="7"/>
      <c r="D35" s="7"/>
      <c r="E35" s="7"/>
      <c r="F35" s="7"/>
      <c r="G35" s="7"/>
      <c r="H35" s="7">
        <f>IF($A35="","",IFERROR(IF(COUNTIFS(Prestamos!$B$4:$B$103,$A35,Prestamos!$I$4:$I$103,"Activo")&gt;0,"Prestado","Disponible"),"Disponible"))</f>
      </c>
      <c r="I35" s="7"/>
      <c r="J35" s="7"/>
    </row>
    <row r="36" spans="1:10" x14ac:dyDescent="0.25">
      <c r="A36" s="7"/>
      <c r="B36" s="7"/>
      <c r="C36" s="7"/>
      <c r="D36" s="7"/>
      <c r="E36" s="7"/>
      <c r="F36" s="7"/>
      <c r="G36" s="7"/>
      <c r="H36" s="7">
        <f>IF($A36="","",IFERROR(IF(COUNTIFS(Prestamos!$B$4:$B$103,$A36,Prestamos!$I$4:$I$103,"Activo")&gt;0,"Prestado","Disponible"),"Disponible"))</f>
      </c>
      <c r="I36" s="7"/>
      <c r="J36" s="7"/>
    </row>
    <row r="37" spans="1:10" x14ac:dyDescent="0.25">
      <c r="A37" s="7"/>
      <c r="B37" s="7"/>
      <c r="C37" s="7"/>
      <c r="D37" s="7"/>
      <c r="E37" s="7"/>
      <c r="F37" s="7"/>
      <c r="G37" s="7"/>
      <c r="H37" s="7">
        <f>IF($A37="","",IFERROR(IF(COUNTIFS(Prestamos!$B$4:$B$103,$A37,Prestamos!$I$4:$I$103,"Activo")&gt;0,"Prestado","Disponible"),"Disponible"))</f>
      </c>
      <c r="I37" s="7"/>
      <c r="J37" s="7"/>
    </row>
    <row r="38" spans="1:10" x14ac:dyDescent="0.25">
      <c r="A38" s="7"/>
      <c r="B38" s="7"/>
      <c r="C38" s="7"/>
      <c r="D38" s="7"/>
      <c r="E38" s="7"/>
      <c r="F38" s="7"/>
      <c r="G38" s="7"/>
      <c r="H38" s="7">
        <f>IF($A38="","",IFERROR(IF(COUNTIFS(Prestamos!$B$4:$B$103,$A38,Prestamos!$I$4:$I$103,"Activo")&gt;0,"Prestado","Disponible"),"Disponible"))</f>
      </c>
      <c r="I38" s="7"/>
      <c r="J38" s="7"/>
    </row>
    <row r="39" spans="1:10" x14ac:dyDescent="0.25">
      <c r="A39" s="7"/>
      <c r="B39" s="7"/>
      <c r="C39" s="7"/>
      <c r="D39" s="7"/>
      <c r="E39" s="7"/>
      <c r="F39" s="7"/>
      <c r="G39" s="7"/>
      <c r="H39" s="7">
        <f>IF($A39="","",IFERROR(IF(COUNTIFS(Prestamos!$B$4:$B$103,$A39,Prestamos!$I$4:$I$103,"Activo")&gt;0,"Prestado","Disponible"),"Disponible"))</f>
      </c>
      <c r="I39" s="7"/>
      <c r="J39" s="7"/>
    </row>
    <row r="40" spans="1:10" x14ac:dyDescent="0.25">
      <c r="A40" s="7"/>
      <c r="B40" s="7"/>
      <c r="C40" s="7"/>
      <c r="D40" s="7"/>
      <c r="E40" s="7"/>
      <c r="F40" s="7"/>
      <c r="G40" s="7"/>
      <c r="H40" s="7">
        <f>IF($A40="","",IFERROR(IF(COUNTIFS(Prestamos!$B$4:$B$103,$A40,Prestamos!$I$4:$I$103,"Activo")&gt;0,"Prestado","Disponible"),"Disponible"))</f>
      </c>
      <c r="I40" s="7"/>
      <c r="J40" s="7"/>
    </row>
    <row r="41" spans="1:10" x14ac:dyDescent="0.25">
      <c r="A41" s="7"/>
      <c r="B41" s="7"/>
      <c r="C41" s="7"/>
      <c r="D41" s="7"/>
      <c r="E41" s="7"/>
      <c r="F41" s="7"/>
      <c r="G41" s="7"/>
      <c r="H41" s="7">
        <f>IF($A41="","",IFERROR(IF(COUNTIFS(Prestamos!$B$4:$B$103,$A41,Prestamos!$I$4:$I$103,"Activo")&gt;0,"Prestado","Disponible"),"Disponible"))</f>
      </c>
      <c r="I41" s="7"/>
      <c r="J41" s="7"/>
    </row>
    <row r="42" spans="1:10" x14ac:dyDescent="0.25">
      <c r="A42" s="7"/>
      <c r="B42" s="7"/>
      <c r="C42" s="7"/>
      <c r="D42" s="7"/>
      <c r="E42" s="7"/>
      <c r="F42" s="7"/>
      <c r="G42" s="7"/>
      <c r="H42" s="7">
        <f>IF($A42="","",IFERROR(IF(COUNTIFS(Prestamos!$B$4:$B$103,$A42,Prestamos!$I$4:$I$103,"Activo")&gt;0,"Prestado","Disponible"),"Disponible"))</f>
      </c>
      <c r="I42" s="7"/>
      <c r="J42" s="7"/>
    </row>
    <row r="43" spans="1:10" x14ac:dyDescent="0.25">
      <c r="A43" s="7"/>
      <c r="B43" s="7"/>
      <c r="C43" s="7"/>
      <c r="D43" s="7"/>
      <c r="E43" s="7"/>
      <c r="F43" s="7"/>
      <c r="G43" s="7"/>
      <c r="H43" s="7">
        <f>IF($A43="","",IFERROR(IF(COUNTIFS(Prestamos!$B$4:$B$103,$A43,Prestamos!$I$4:$I$103,"Activo")&gt;0,"Prestado","Disponible"),"Disponible"))</f>
      </c>
      <c r="I43" s="7"/>
      <c r="J43" s="7"/>
    </row>
    <row r="44" spans="1:10" x14ac:dyDescent="0.25">
      <c r="A44" s="7"/>
      <c r="B44" s="7"/>
      <c r="C44" s="7"/>
      <c r="D44" s="7"/>
      <c r="E44" s="7"/>
      <c r="F44" s="7"/>
      <c r="G44" s="7"/>
      <c r="H44" s="7">
        <f>IF($A44="","",IFERROR(IF(COUNTIFS(Prestamos!$B$4:$B$103,$A44,Prestamos!$I$4:$I$103,"Activo")&gt;0,"Prestado","Disponible"),"Disponible"))</f>
      </c>
      <c r="I44" s="7"/>
      <c r="J44" s="7"/>
    </row>
    <row r="45" spans="1:10" x14ac:dyDescent="0.25">
      <c r="A45" s="7"/>
      <c r="B45" s="7"/>
      <c r="C45" s="7"/>
      <c r="D45" s="7"/>
      <c r="E45" s="7"/>
      <c r="F45" s="7"/>
      <c r="G45" s="7"/>
      <c r="H45" s="7">
        <f>IF($A45="","",IFERROR(IF(COUNTIFS(Prestamos!$B$4:$B$103,$A45,Prestamos!$I$4:$I$103,"Activo")&gt;0,"Prestado","Disponible"),"Disponible"))</f>
      </c>
      <c r="I45" s="7"/>
      <c r="J45" s="7"/>
    </row>
    <row r="46" spans="1:10" x14ac:dyDescent="0.25">
      <c r="A46" s="7"/>
      <c r="B46" s="7"/>
      <c r="C46" s="7"/>
      <c r="D46" s="7"/>
      <c r="E46" s="7"/>
      <c r="F46" s="7"/>
      <c r="G46" s="7"/>
      <c r="H46" s="7">
        <f>IF($A46="","",IFERROR(IF(COUNTIFS(Prestamos!$B$4:$B$103,$A46,Prestamos!$I$4:$I$103,"Activo")&gt;0,"Prestado","Disponible"),"Disponible"))</f>
      </c>
      <c r="I46" s="7"/>
      <c r="J46" s="7"/>
    </row>
    <row r="47" spans="1:10" x14ac:dyDescent="0.25">
      <c r="A47" s="7"/>
      <c r="B47" s="7"/>
      <c r="C47" s="7"/>
      <c r="D47" s="7"/>
      <c r="E47" s="7"/>
      <c r="F47" s="7"/>
      <c r="G47" s="7"/>
      <c r="H47" s="7">
        <f>IF($A47="","",IFERROR(IF(COUNTIFS(Prestamos!$B$4:$B$103,$A47,Prestamos!$I$4:$I$103,"Activo")&gt;0,"Prestado","Disponible"),"Disponible"))</f>
      </c>
      <c r="I47" s="7"/>
      <c r="J47" s="7"/>
    </row>
    <row r="48" spans="1:10" x14ac:dyDescent="0.25">
      <c r="A48" s="7"/>
      <c r="B48" s="7"/>
      <c r="C48" s="7"/>
      <c r="D48" s="7"/>
      <c r="E48" s="7"/>
      <c r="F48" s="7"/>
      <c r="G48" s="7"/>
      <c r="H48" s="7">
        <f>IF($A48="","",IFERROR(IF(COUNTIFS(Prestamos!$B$4:$B$103,$A48,Prestamos!$I$4:$I$103,"Activo")&gt;0,"Prestado","Disponible"),"Disponible"))</f>
      </c>
      <c r="I48" s="7"/>
      <c r="J48" s="7"/>
    </row>
    <row r="49" spans="1:10" x14ac:dyDescent="0.25">
      <c r="A49" s="7"/>
      <c r="B49" s="7"/>
      <c r="C49" s="7"/>
      <c r="D49" s="7"/>
      <c r="E49" s="7"/>
      <c r="F49" s="7"/>
      <c r="G49" s="7"/>
      <c r="H49" s="7">
        <f>IF($A49="","",IFERROR(IF(COUNTIFS(Prestamos!$B$4:$B$103,$A49,Prestamos!$I$4:$I$103,"Activo")&gt;0,"Prestado","Disponible"),"Disponible"))</f>
      </c>
      <c r="I49" s="7"/>
      <c r="J49" s="7"/>
    </row>
    <row r="50" spans="1:10" x14ac:dyDescent="0.25">
      <c r="A50" s="7"/>
      <c r="B50" s="7"/>
      <c r="C50" s="7"/>
      <c r="D50" s="7"/>
      <c r="E50" s="7"/>
      <c r="F50" s="7"/>
      <c r="G50" s="7"/>
      <c r="H50" s="7">
        <f>IF($A50="","",IFERROR(IF(COUNTIFS(Prestamos!$B$4:$B$103,$A50,Prestamos!$I$4:$I$103,"Activo")&gt;0,"Prestado","Disponible"),"Disponible"))</f>
      </c>
      <c r="I50" s="7"/>
      <c r="J50" s="7"/>
    </row>
    <row r="51" spans="1:10" x14ac:dyDescent="0.25">
      <c r="A51" s="7"/>
      <c r="B51" s="7"/>
      <c r="C51" s="7"/>
      <c r="D51" s="7"/>
      <c r="E51" s="7"/>
      <c r="F51" s="7"/>
      <c r="G51" s="7"/>
      <c r="H51" s="7">
        <f>IF($A51="","",IFERROR(IF(COUNTIFS(Prestamos!$B$4:$B$103,$A51,Prestamos!$I$4:$I$103,"Activo")&gt;0,"Prestado","Disponible"),"Disponible"))</f>
      </c>
      <c r="I51" s="7"/>
      <c r="J51" s="7"/>
    </row>
    <row r="52" spans="1:10" x14ac:dyDescent="0.25">
      <c r="A52" s="7"/>
      <c r="B52" s="7"/>
      <c r="C52" s="7"/>
      <c r="D52" s="7"/>
      <c r="E52" s="7"/>
      <c r="F52" s="7"/>
      <c r="G52" s="7"/>
      <c r="H52" s="7">
        <f>IF($A52="","",IFERROR(IF(COUNTIFS(Prestamos!$B$4:$B$103,$A52,Prestamos!$I$4:$I$103,"Activo")&gt;0,"Prestado","Disponible"),"Disponible"))</f>
      </c>
      <c r="I52" s="7"/>
      <c r="J52" s="7"/>
    </row>
    <row r="53" spans="1:10" x14ac:dyDescent="0.25">
      <c r="A53" s="7"/>
      <c r="B53" s="7"/>
      <c r="C53" s="7"/>
      <c r="D53" s="7"/>
      <c r="E53" s="7"/>
      <c r="F53" s="7"/>
      <c r="G53" s="7"/>
      <c r="H53" s="7">
        <f>IF($A53="","",IFERROR(IF(COUNTIFS(Prestamos!$B$4:$B$103,$A53,Prestamos!$I$4:$I$103,"Activo")&gt;0,"Prestado","Disponible"),"Disponible"))</f>
      </c>
      <c r="I53" s="7"/>
      <c r="J53" s="7"/>
    </row>
    <row r="54" spans="1:10" x14ac:dyDescent="0.25">
      <c r="A54" s="7"/>
      <c r="B54" s="7"/>
      <c r="C54" s="7"/>
      <c r="D54" s="7"/>
      <c r="E54" s="7"/>
      <c r="F54" s="7"/>
      <c r="G54" s="7"/>
      <c r="H54" s="7">
        <f>IF($A54="","",IFERROR(IF(COUNTIFS(Prestamos!$B$4:$B$103,$A54,Prestamos!$I$4:$I$103,"Activo")&gt;0,"Prestado","Disponible"),"Disponible"))</f>
      </c>
      <c r="I54" s="7"/>
      <c r="J54" s="7"/>
    </row>
    <row r="55" spans="1:10" x14ac:dyDescent="0.25">
      <c r="A55" s="7"/>
      <c r="B55" s="7"/>
      <c r="C55" s="7"/>
      <c r="D55" s="7"/>
      <c r="E55" s="7"/>
      <c r="F55" s="7"/>
      <c r="G55" s="7"/>
      <c r="H55" s="7">
        <f>IF($A55="","",IFERROR(IF(COUNTIFS(Prestamos!$B$4:$B$103,$A55,Prestamos!$I$4:$I$103,"Activo")&gt;0,"Prestado","Disponible"),"Disponible"))</f>
      </c>
      <c r="I55" s="7"/>
      <c r="J55" s="7"/>
    </row>
    <row r="56" spans="1:10" x14ac:dyDescent="0.25">
      <c r="A56" s="7"/>
      <c r="B56" s="7"/>
      <c r="C56" s="7"/>
      <c r="D56" s="7"/>
      <c r="E56" s="7"/>
      <c r="F56" s="7"/>
      <c r="G56" s="7"/>
      <c r="H56" s="7">
        <f>IF($A56="","",IFERROR(IF(COUNTIFS(Prestamos!$B$4:$B$103,$A56,Prestamos!$I$4:$I$103,"Activo")&gt;0,"Prestado","Disponible"),"Disponible"))</f>
      </c>
      <c r="I56" s="7"/>
      <c r="J56" s="7"/>
    </row>
    <row r="57" spans="1:10" x14ac:dyDescent="0.25">
      <c r="A57" s="7"/>
      <c r="B57" s="7"/>
      <c r="C57" s="7"/>
      <c r="D57" s="7"/>
      <c r="E57" s="7"/>
      <c r="F57" s="7"/>
      <c r="G57" s="7"/>
      <c r="H57" s="7">
        <f>IF($A57="","",IFERROR(IF(COUNTIFS(Prestamos!$B$4:$B$103,$A57,Prestamos!$I$4:$I$103,"Activo")&gt;0,"Prestado","Disponible"),"Disponible"))</f>
      </c>
      <c r="I57" s="7"/>
      <c r="J57" s="7"/>
    </row>
    <row r="58" spans="1:10" x14ac:dyDescent="0.25">
      <c r="A58" s="7"/>
      <c r="B58" s="7"/>
      <c r="C58" s="7"/>
      <c r="D58" s="7"/>
      <c r="E58" s="7"/>
      <c r="F58" s="7"/>
      <c r="G58" s="7"/>
      <c r="H58" s="7">
        <f>IF($A58="","",IFERROR(IF(COUNTIFS(Prestamos!$B$4:$B$103,$A58,Prestamos!$I$4:$I$103,"Activo")&gt;0,"Prestado","Disponible"),"Disponible"))</f>
      </c>
      <c r="I58" s="7"/>
      <c r="J58" s="7"/>
    </row>
    <row r="59" spans="1:10" x14ac:dyDescent="0.25">
      <c r="A59" s="7"/>
      <c r="B59" s="7"/>
      <c r="C59" s="7"/>
      <c r="D59" s="7"/>
      <c r="E59" s="7"/>
      <c r="F59" s="7"/>
      <c r="G59" s="7"/>
      <c r="H59" s="7">
        <f>IF($A59="","",IFERROR(IF(COUNTIFS(Prestamos!$B$4:$B$103,$A59,Prestamos!$I$4:$I$103,"Activo")&gt;0,"Prestado","Disponible"),"Disponible"))</f>
      </c>
      <c r="I59" s="7"/>
      <c r="J59" s="7"/>
    </row>
    <row r="60" spans="1:10" x14ac:dyDescent="0.25">
      <c r="A60" s="7"/>
      <c r="B60" s="7"/>
      <c r="C60" s="7"/>
      <c r="D60" s="7"/>
      <c r="E60" s="7"/>
      <c r="F60" s="7"/>
      <c r="G60" s="7"/>
      <c r="H60" s="7">
        <f>IF($A60="","",IFERROR(IF(COUNTIFS(Prestamos!$B$4:$B$103,$A60,Prestamos!$I$4:$I$103,"Activo")&gt;0,"Prestado","Disponible"),"Disponible"))</f>
      </c>
      <c r="I60" s="7"/>
      <c r="J60" s="7"/>
    </row>
    <row r="61" spans="1:10" x14ac:dyDescent="0.25">
      <c r="A61" s="7"/>
      <c r="B61" s="7"/>
      <c r="C61" s="7"/>
      <c r="D61" s="7"/>
      <c r="E61" s="7"/>
      <c r="F61" s="7"/>
      <c r="G61" s="7"/>
      <c r="H61" s="7">
        <f>IF($A61="","",IFERROR(IF(COUNTIFS(Prestamos!$B$4:$B$103,$A61,Prestamos!$I$4:$I$103,"Activo")&gt;0,"Prestado","Disponible"),"Disponible"))</f>
      </c>
      <c r="I61" s="7"/>
      <c r="J61" s="7"/>
    </row>
    <row r="62" spans="1:10" x14ac:dyDescent="0.25">
      <c r="A62" s="7"/>
      <c r="B62" s="7"/>
      <c r="C62" s="7"/>
      <c r="D62" s="7"/>
      <c r="E62" s="7"/>
      <c r="F62" s="7"/>
      <c r="G62" s="7"/>
      <c r="H62" s="7">
        <f>IF($A62="","",IFERROR(IF(COUNTIFS(Prestamos!$B$4:$B$103,$A62,Prestamos!$I$4:$I$103,"Activo")&gt;0,"Prestado","Disponible"),"Disponible"))</f>
      </c>
      <c r="I62" s="7"/>
      <c r="J62" s="7"/>
    </row>
    <row r="63" spans="1:10" x14ac:dyDescent="0.25">
      <c r="A63" s="7"/>
      <c r="B63" s="7"/>
      <c r="C63" s="7"/>
      <c r="D63" s="7"/>
      <c r="E63" s="7"/>
      <c r="F63" s="7"/>
      <c r="G63" s="7"/>
      <c r="H63" s="7">
        <f>IF($A63="","",IFERROR(IF(COUNTIFS(Prestamos!$B$4:$B$103,$A63,Prestamos!$I$4:$I$103,"Activo")&gt;0,"Prestado","Disponible"),"Disponible"))</f>
      </c>
      <c r="I63" s="7"/>
      <c r="J63" s="7"/>
    </row>
    <row r="64" spans="1:10" x14ac:dyDescent="0.25">
      <c r="A64" s="7"/>
      <c r="B64" s="7"/>
      <c r="C64" s="7"/>
      <c r="D64" s="7"/>
      <c r="E64" s="7"/>
      <c r="F64" s="7"/>
      <c r="G64" s="7"/>
      <c r="H64" s="7">
        <f>IF($A64="","",IFERROR(IF(COUNTIFS(Prestamos!$B$4:$B$103,$A64,Prestamos!$I$4:$I$103,"Activo")&gt;0,"Prestado","Disponible"),"Disponible"))</f>
      </c>
      <c r="I64" s="7"/>
      <c r="J64" s="7"/>
    </row>
    <row r="65" spans="1:10" x14ac:dyDescent="0.25">
      <c r="A65" s="7"/>
      <c r="B65" s="7"/>
      <c r="C65" s="7"/>
      <c r="D65" s="7"/>
      <c r="E65" s="7"/>
      <c r="F65" s="7"/>
      <c r="G65" s="7"/>
      <c r="H65" s="7">
        <f>IF($A65="","",IFERROR(IF(COUNTIFS(Prestamos!$B$4:$B$103,$A65,Prestamos!$I$4:$I$103,"Activo")&gt;0,"Prestado","Disponible"),"Disponible"))</f>
      </c>
      <c r="I65" s="7"/>
      <c r="J65" s="7"/>
    </row>
    <row r="66" spans="1:10" x14ac:dyDescent="0.25">
      <c r="A66" s="7"/>
      <c r="B66" s="7"/>
      <c r="C66" s="7"/>
      <c r="D66" s="7"/>
      <c r="E66" s="7"/>
      <c r="F66" s="7"/>
      <c r="G66" s="7"/>
      <c r="H66" s="7">
        <f>IF($A66="","",IFERROR(IF(COUNTIFS(Prestamos!$B$4:$B$103,$A66,Prestamos!$I$4:$I$103,"Activo")&gt;0,"Prestado","Disponible"),"Disponible"))</f>
      </c>
      <c r="I66" s="7"/>
      <c r="J66" s="7"/>
    </row>
    <row r="67" spans="1:10" x14ac:dyDescent="0.25">
      <c r="A67" s="7"/>
      <c r="B67" s="7"/>
      <c r="C67" s="7"/>
      <c r="D67" s="7"/>
      <c r="E67" s="7"/>
      <c r="F67" s="7"/>
      <c r="G67" s="7"/>
      <c r="H67" s="7">
        <f>IF($A67="","",IFERROR(IF(COUNTIFS(Prestamos!$B$4:$B$103,$A67,Prestamos!$I$4:$I$103,"Activo")&gt;0,"Prestado","Disponible"),"Disponible"))</f>
      </c>
      <c r="I67" s="7"/>
      <c r="J67" s="7"/>
    </row>
    <row r="68" spans="1:10" x14ac:dyDescent="0.25">
      <c r="A68" s="7"/>
      <c r="B68" s="7"/>
      <c r="C68" s="7"/>
      <c r="D68" s="7"/>
      <c r="E68" s="7"/>
      <c r="F68" s="7"/>
      <c r="G68" s="7"/>
      <c r="H68" s="7">
        <f>IF($A68="","",IFERROR(IF(COUNTIFS(Prestamos!$B$4:$B$103,$A68,Prestamos!$I$4:$I$103,"Activo")&gt;0,"Prestado","Disponible"),"Disponible"))</f>
      </c>
      <c r="I68" s="7"/>
      <c r="J68" s="7"/>
    </row>
    <row r="69" spans="1:10" x14ac:dyDescent="0.25">
      <c r="A69" s="7"/>
      <c r="B69" s="7"/>
      <c r="C69" s="7"/>
      <c r="D69" s="7"/>
      <c r="E69" s="7"/>
      <c r="F69" s="7"/>
      <c r="G69" s="7"/>
      <c r="H69" s="7">
        <f>IF($A69="","",IFERROR(IF(COUNTIFS(Prestamos!$B$4:$B$103,$A69,Prestamos!$I$4:$I$103,"Activo")&gt;0,"Prestado","Disponible"),"Disponible"))</f>
      </c>
      <c r="I69" s="7"/>
      <c r="J69" s="7"/>
    </row>
    <row r="70" spans="1:10" x14ac:dyDescent="0.25">
      <c r="A70" s="7"/>
      <c r="B70" s="7"/>
      <c r="C70" s="7"/>
      <c r="D70" s="7"/>
      <c r="E70" s="7"/>
      <c r="F70" s="7"/>
      <c r="G70" s="7"/>
      <c r="H70" s="7">
        <f>IF($A70="","",IFERROR(IF(COUNTIFS(Prestamos!$B$4:$B$103,$A70,Prestamos!$I$4:$I$103,"Activo")&gt;0,"Prestado","Disponible"),"Disponible"))</f>
      </c>
      <c r="I70" s="7"/>
      <c r="J70" s="7"/>
    </row>
    <row r="71" spans="1:10" x14ac:dyDescent="0.25">
      <c r="A71" s="7"/>
      <c r="B71" s="7"/>
      <c r="C71" s="7"/>
      <c r="D71" s="7"/>
      <c r="E71" s="7"/>
      <c r="F71" s="7"/>
      <c r="G71" s="7"/>
      <c r="H71" s="7">
        <f>IF($A71="","",IFERROR(IF(COUNTIFS(Prestamos!$B$4:$B$103,$A71,Prestamos!$I$4:$I$103,"Activo")&gt;0,"Prestado","Disponible"),"Disponible"))</f>
      </c>
      <c r="I71" s="7"/>
      <c r="J71" s="7"/>
    </row>
    <row r="72" spans="1:10" x14ac:dyDescent="0.25">
      <c r="A72" s="7"/>
      <c r="B72" s="7"/>
      <c r="C72" s="7"/>
      <c r="D72" s="7"/>
      <c r="E72" s="7"/>
      <c r="F72" s="7"/>
      <c r="G72" s="7"/>
      <c r="H72" s="7">
        <f>IF($A72="","",IFERROR(IF(COUNTIFS(Prestamos!$B$4:$B$103,$A72,Prestamos!$I$4:$I$103,"Activo")&gt;0,"Prestado","Disponible"),"Disponible"))</f>
      </c>
      <c r="I72" s="7"/>
      <c r="J72" s="7"/>
    </row>
    <row r="73" spans="1:10" x14ac:dyDescent="0.25">
      <c r="A73" s="7"/>
      <c r="B73" s="7"/>
      <c r="C73" s="7"/>
      <c r="D73" s="7"/>
      <c r="E73" s="7"/>
      <c r="F73" s="7"/>
      <c r="G73" s="7"/>
      <c r="H73" s="7">
        <f>IF($A73="","",IFERROR(IF(COUNTIFS(Prestamos!$B$4:$B$103,$A73,Prestamos!$I$4:$I$103,"Activo")&gt;0,"Prestado","Disponible"),"Disponible"))</f>
      </c>
      <c r="I73" s="7"/>
      <c r="J73" s="7"/>
    </row>
    <row r="74" spans="1:10" x14ac:dyDescent="0.25">
      <c r="A74" s="7"/>
      <c r="B74" s="7"/>
      <c r="C74" s="7"/>
      <c r="D74" s="7"/>
      <c r="E74" s="7"/>
      <c r="F74" s="7"/>
      <c r="G74" s="7"/>
      <c r="H74" s="7">
        <f>IF($A74="","",IFERROR(IF(COUNTIFS(Prestamos!$B$4:$B$103,$A74,Prestamos!$I$4:$I$103,"Activo")&gt;0,"Prestado","Disponible"),"Disponible"))</f>
      </c>
      <c r="I74" s="7"/>
      <c r="J74" s="7"/>
    </row>
    <row r="75" spans="1:10" x14ac:dyDescent="0.25">
      <c r="A75" s="7"/>
      <c r="B75" s="7"/>
      <c r="C75" s="7"/>
      <c r="D75" s="7"/>
      <c r="E75" s="7"/>
      <c r="F75" s="7"/>
      <c r="G75" s="7"/>
      <c r="H75" s="7">
        <f>IF($A75="","",IFERROR(IF(COUNTIFS(Prestamos!$B$4:$B$103,$A75,Prestamos!$I$4:$I$103,"Activo")&gt;0,"Prestado","Disponible"),"Disponible"))</f>
      </c>
      <c r="I75" s="7"/>
      <c r="J75" s="7"/>
    </row>
    <row r="76" spans="1:10" x14ac:dyDescent="0.25">
      <c r="A76" s="7"/>
      <c r="B76" s="7"/>
      <c r="C76" s="7"/>
      <c r="D76" s="7"/>
      <c r="E76" s="7"/>
      <c r="F76" s="7"/>
      <c r="G76" s="7"/>
      <c r="H76" s="7">
        <f>IF($A76="","",IFERROR(IF(COUNTIFS(Prestamos!$B$4:$B$103,$A76,Prestamos!$I$4:$I$103,"Activo")&gt;0,"Prestado","Disponible"),"Disponible"))</f>
      </c>
      <c r="I76" s="7"/>
      <c r="J76" s="7"/>
    </row>
    <row r="77" spans="1:10" x14ac:dyDescent="0.25">
      <c r="A77" s="7"/>
      <c r="B77" s="7"/>
      <c r="C77" s="7"/>
      <c r="D77" s="7"/>
      <c r="E77" s="7"/>
      <c r="F77" s="7"/>
      <c r="G77" s="7"/>
      <c r="H77" s="7">
        <f>IF($A77="","",IFERROR(IF(COUNTIFS(Prestamos!$B$4:$B$103,$A77,Prestamos!$I$4:$I$103,"Activo")&gt;0,"Prestado","Disponible"),"Disponible"))</f>
      </c>
      <c r="I77" s="7"/>
      <c r="J77" s="7"/>
    </row>
    <row r="78" spans="1:10" x14ac:dyDescent="0.25">
      <c r="A78" s="7"/>
      <c r="B78" s="7"/>
      <c r="C78" s="7"/>
      <c r="D78" s="7"/>
      <c r="E78" s="7"/>
      <c r="F78" s="7"/>
      <c r="G78" s="7"/>
      <c r="H78" s="7">
        <f>IF($A78="","",IFERROR(IF(COUNTIFS(Prestamos!$B$4:$B$103,$A78,Prestamos!$I$4:$I$103,"Activo")&gt;0,"Prestado","Disponible"),"Disponible"))</f>
      </c>
      <c r="I78" s="7"/>
      <c r="J78" s="7"/>
    </row>
    <row r="79" spans="1:10" x14ac:dyDescent="0.25">
      <c r="A79" s="7"/>
      <c r="B79" s="7"/>
      <c r="C79" s="7"/>
      <c r="D79" s="7"/>
      <c r="E79" s="7"/>
      <c r="F79" s="7"/>
      <c r="G79" s="7"/>
      <c r="H79" s="7">
        <f>IF($A79="","",IFERROR(IF(COUNTIFS(Prestamos!$B$4:$B$103,$A79,Prestamos!$I$4:$I$103,"Activo")&gt;0,"Prestado","Disponible"),"Disponible"))</f>
      </c>
      <c r="I79" s="7"/>
      <c r="J79" s="7"/>
    </row>
    <row r="80" spans="1:10" x14ac:dyDescent="0.25">
      <c r="A80" s="7"/>
      <c r="B80" s="7"/>
      <c r="C80" s="7"/>
      <c r="D80" s="7"/>
      <c r="E80" s="7"/>
      <c r="F80" s="7"/>
      <c r="G80" s="7"/>
      <c r="H80" s="7">
        <f>IF($A80="","",IFERROR(IF(COUNTIFS(Prestamos!$B$4:$B$103,$A80,Prestamos!$I$4:$I$103,"Activo")&gt;0,"Prestado","Disponible"),"Disponible"))</f>
      </c>
      <c r="I80" s="7"/>
      <c r="J80" s="7"/>
    </row>
    <row r="81" spans="1:10" x14ac:dyDescent="0.25">
      <c r="A81" s="7"/>
      <c r="B81" s="7"/>
      <c r="C81" s="7"/>
      <c r="D81" s="7"/>
      <c r="E81" s="7"/>
      <c r="F81" s="7"/>
      <c r="G81" s="7"/>
      <c r="H81" s="7">
        <f>IF($A81="","",IFERROR(IF(COUNTIFS(Prestamos!$B$4:$B$103,$A81,Prestamos!$I$4:$I$103,"Activo")&gt;0,"Prestado","Disponible"),"Disponible"))</f>
      </c>
      <c r="I81" s="7"/>
      <c r="J81" s="7"/>
    </row>
    <row r="82" spans="1:10" x14ac:dyDescent="0.25">
      <c r="A82" s="7"/>
      <c r="B82" s="7"/>
      <c r="C82" s="7"/>
      <c r="D82" s="7"/>
      <c r="E82" s="7"/>
      <c r="F82" s="7"/>
      <c r="G82" s="7"/>
      <c r="H82" s="7">
        <f>IF($A82="","",IFERROR(IF(COUNTIFS(Prestamos!$B$4:$B$103,$A82,Prestamos!$I$4:$I$103,"Activo")&gt;0,"Prestado","Disponible"),"Disponible"))</f>
      </c>
      <c r="I82" s="7"/>
      <c r="J82" s="7"/>
    </row>
    <row r="83" spans="1:10" x14ac:dyDescent="0.25">
      <c r="A83" s="7"/>
      <c r="B83" s="7"/>
      <c r="C83" s="7"/>
      <c r="D83" s="7"/>
      <c r="E83" s="7"/>
      <c r="F83" s="7"/>
      <c r="G83" s="7"/>
      <c r="H83" s="7">
        <f>IF($A83="","",IFERROR(IF(COUNTIFS(Prestamos!$B$4:$B$103,$A83,Prestamos!$I$4:$I$103,"Activo")&gt;0,"Prestado","Disponible"),"Disponible"))</f>
      </c>
      <c r="I83" s="7"/>
      <c r="J83" s="7"/>
    </row>
    <row r="84" spans="1:10" x14ac:dyDescent="0.25">
      <c r="A84" s="7"/>
      <c r="B84" s="7"/>
      <c r="C84" s="7"/>
      <c r="D84" s="7"/>
      <c r="E84" s="7"/>
      <c r="F84" s="7"/>
      <c r="G84" s="7"/>
      <c r="H84" s="7">
        <f>IF($A84="","",IFERROR(IF(COUNTIFS(Prestamos!$B$4:$B$103,$A84,Prestamos!$I$4:$I$103,"Activo")&gt;0,"Prestado","Disponible"),"Disponible"))</f>
      </c>
      <c r="I84" s="7"/>
      <c r="J84" s="7"/>
    </row>
    <row r="85" spans="1:10" x14ac:dyDescent="0.25">
      <c r="A85" s="7"/>
      <c r="B85" s="7"/>
      <c r="C85" s="7"/>
      <c r="D85" s="7"/>
      <c r="E85" s="7"/>
      <c r="F85" s="7"/>
      <c r="G85" s="7"/>
      <c r="H85" s="7">
        <f>IF($A85="","",IFERROR(IF(COUNTIFS(Prestamos!$B$4:$B$103,$A85,Prestamos!$I$4:$I$103,"Activo")&gt;0,"Prestado","Disponible"),"Disponible"))</f>
      </c>
      <c r="I85" s="7"/>
      <c r="J85" s="7"/>
    </row>
    <row r="86" spans="1:10" x14ac:dyDescent="0.25">
      <c r="A86" s="7"/>
      <c r="B86" s="7"/>
      <c r="C86" s="7"/>
      <c r="D86" s="7"/>
      <c r="E86" s="7"/>
      <c r="F86" s="7"/>
      <c r="G86" s="7"/>
      <c r="H86" s="7">
        <f>IF($A86="","",IFERROR(IF(COUNTIFS(Prestamos!$B$4:$B$103,$A86,Prestamos!$I$4:$I$103,"Activo")&gt;0,"Prestado","Disponible"),"Disponible"))</f>
      </c>
      <c r="I86" s="7"/>
      <c r="J86" s="7"/>
    </row>
    <row r="87" spans="1:10" x14ac:dyDescent="0.25">
      <c r="A87" s="7"/>
      <c r="B87" s="7"/>
      <c r="C87" s="7"/>
      <c r="D87" s="7"/>
      <c r="E87" s="7"/>
      <c r="F87" s="7"/>
      <c r="G87" s="7"/>
      <c r="H87" s="7">
        <f>IF($A87="","",IFERROR(IF(COUNTIFS(Prestamos!$B$4:$B$103,$A87,Prestamos!$I$4:$I$103,"Activo")&gt;0,"Prestado","Disponible"),"Disponible"))</f>
      </c>
      <c r="I87" s="7"/>
      <c r="J87" s="7"/>
    </row>
    <row r="88" spans="1:10" x14ac:dyDescent="0.25">
      <c r="A88" s="7"/>
      <c r="B88" s="7"/>
      <c r="C88" s="7"/>
      <c r="D88" s="7"/>
      <c r="E88" s="7"/>
      <c r="F88" s="7"/>
      <c r="G88" s="7"/>
      <c r="H88" s="7">
        <f>IF($A88="","",IFERROR(IF(COUNTIFS(Prestamos!$B$4:$B$103,$A88,Prestamos!$I$4:$I$103,"Activo")&gt;0,"Prestado","Disponible"),"Disponible"))</f>
      </c>
      <c r="I88" s="7"/>
      <c r="J88" s="7"/>
    </row>
    <row r="89" spans="1:10" x14ac:dyDescent="0.25">
      <c r="A89" s="7"/>
      <c r="B89" s="7"/>
      <c r="C89" s="7"/>
      <c r="D89" s="7"/>
      <c r="E89" s="7"/>
      <c r="F89" s="7"/>
      <c r="G89" s="7"/>
      <c r="H89" s="7">
        <f>IF($A89="","",IFERROR(IF(COUNTIFS(Prestamos!$B$4:$B$103,$A89,Prestamos!$I$4:$I$103,"Activo")&gt;0,"Prestado","Disponible"),"Disponible"))</f>
      </c>
      <c r="I89" s="7"/>
      <c r="J89" s="7"/>
    </row>
    <row r="90" spans="1:10" x14ac:dyDescent="0.25">
      <c r="A90" s="7"/>
      <c r="B90" s="7"/>
      <c r="C90" s="7"/>
      <c r="D90" s="7"/>
      <c r="E90" s="7"/>
      <c r="F90" s="7"/>
      <c r="G90" s="7"/>
      <c r="H90" s="7">
        <f>IF($A90="","",IFERROR(IF(COUNTIFS(Prestamos!$B$4:$B$103,$A90,Prestamos!$I$4:$I$103,"Activo")&gt;0,"Prestado","Disponible"),"Disponible"))</f>
      </c>
      <c r="I90" s="7"/>
      <c r="J90" s="7"/>
    </row>
    <row r="91" spans="1:10" x14ac:dyDescent="0.25">
      <c r="A91" s="7"/>
      <c r="B91" s="7"/>
      <c r="C91" s="7"/>
      <c r="D91" s="7"/>
      <c r="E91" s="7"/>
      <c r="F91" s="7"/>
      <c r="G91" s="7"/>
      <c r="H91" s="7">
        <f>IF($A91="","",IFERROR(IF(COUNTIFS(Prestamos!$B$4:$B$103,$A91,Prestamos!$I$4:$I$103,"Activo")&gt;0,"Prestado","Disponible"),"Disponible"))</f>
      </c>
      <c r="I91" s="7"/>
      <c r="J91" s="7"/>
    </row>
    <row r="92" spans="1:10" x14ac:dyDescent="0.25">
      <c r="A92" s="7"/>
      <c r="B92" s="7"/>
      <c r="C92" s="7"/>
      <c r="D92" s="7"/>
      <c r="E92" s="7"/>
      <c r="F92" s="7"/>
      <c r="G92" s="7"/>
      <c r="H92" s="7">
        <f>IF($A92="","",IFERROR(IF(COUNTIFS(Prestamos!$B$4:$B$103,$A92,Prestamos!$I$4:$I$103,"Activo")&gt;0,"Prestado","Disponible"),"Disponible"))</f>
      </c>
      <c r="I92" s="7"/>
      <c r="J92" s="7"/>
    </row>
    <row r="93" spans="1:10" x14ac:dyDescent="0.25">
      <c r="A93" s="7"/>
      <c r="B93" s="7"/>
      <c r="C93" s="7"/>
      <c r="D93" s="7"/>
      <c r="E93" s="7"/>
      <c r="F93" s="7"/>
      <c r="G93" s="7"/>
      <c r="H93" s="7">
        <f>IF($A93="","",IFERROR(IF(COUNTIFS(Prestamos!$B$4:$B$103,$A93,Prestamos!$I$4:$I$103,"Activo")&gt;0,"Prestado","Disponible"),"Disponible"))</f>
      </c>
      <c r="I93" s="7"/>
      <c r="J93" s="7"/>
    </row>
    <row r="94" spans="1:10" x14ac:dyDescent="0.25">
      <c r="A94" s="7"/>
      <c r="B94" s="7"/>
      <c r="C94" s="7"/>
      <c r="D94" s="7"/>
      <c r="E94" s="7"/>
      <c r="F94" s="7"/>
      <c r="G94" s="7"/>
      <c r="H94" s="7">
        <f>IF($A94="","",IFERROR(IF(COUNTIFS(Prestamos!$B$4:$B$103,$A94,Prestamos!$I$4:$I$103,"Activo")&gt;0,"Prestado","Disponible"),"Disponible"))</f>
      </c>
      <c r="I94" s="7"/>
      <c r="J94" s="7"/>
    </row>
    <row r="95" spans="1:10" x14ac:dyDescent="0.25">
      <c r="A95" s="7"/>
      <c r="B95" s="7"/>
      <c r="C95" s="7"/>
      <c r="D95" s="7"/>
      <c r="E95" s="7"/>
      <c r="F95" s="7"/>
      <c r="G95" s="7"/>
      <c r="H95" s="7">
        <f>IF($A95="","",IFERROR(IF(COUNTIFS(Prestamos!$B$4:$B$103,$A95,Prestamos!$I$4:$I$103,"Activo")&gt;0,"Prestado","Disponible"),"Disponible"))</f>
      </c>
      <c r="I95" s="7"/>
      <c r="J95" s="7"/>
    </row>
    <row r="96" spans="1:10" x14ac:dyDescent="0.25">
      <c r="A96" s="7"/>
      <c r="B96" s="7"/>
      <c r="C96" s="7"/>
      <c r="D96" s="7"/>
      <c r="E96" s="7"/>
      <c r="F96" s="7"/>
      <c r="G96" s="7"/>
      <c r="H96" s="7">
        <f>IF($A96="","",IFERROR(IF(COUNTIFS(Prestamos!$B$4:$B$103,$A96,Prestamos!$I$4:$I$103,"Activo")&gt;0,"Prestado","Disponible"),"Disponible"))</f>
      </c>
      <c r="I96" s="7"/>
      <c r="J96" s="7"/>
    </row>
    <row r="97" spans="1:10" x14ac:dyDescent="0.25">
      <c r="A97" s="7"/>
      <c r="B97" s="7"/>
      <c r="C97" s="7"/>
      <c r="D97" s="7"/>
      <c r="E97" s="7"/>
      <c r="F97" s="7"/>
      <c r="G97" s="7"/>
      <c r="H97" s="7">
        <f>IF($A97="","",IFERROR(IF(COUNTIFS(Prestamos!$B$4:$B$103,$A97,Prestamos!$I$4:$I$103,"Activo")&gt;0,"Prestado","Disponible"),"Disponible"))</f>
      </c>
      <c r="I97" s="7"/>
      <c r="J97" s="7"/>
    </row>
    <row r="98" spans="1:10" x14ac:dyDescent="0.25">
      <c r="A98" s="7"/>
      <c r="B98" s="7"/>
      <c r="C98" s="7"/>
      <c r="D98" s="7"/>
      <c r="E98" s="7"/>
      <c r="F98" s="7"/>
      <c r="G98" s="7"/>
      <c r="H98" s="7">
        <f>IF($A98="","",IFERROR(IF(COUNTIFS(Prestamos!$B$4:$B$103,$A98,Prestamos!$I$4:$I$103,"Activo")&gt;0,"Prestado","Disponible"),"Disponible"))</f>
      </c>
      <c r="I98" s="7"/>
      <c r="J98" s="7"/>
    </row>
    <row r="99" spans="1:10" x14ac:dyDescent="0.25">
      <c r="A99" s="7"/>
      <c r="B99" s="7"/>
      <c r="C99" s="7"/>
      <c r="D99" s="7"/>
      <c r="E99" s="7"/>
      <c r="F99" s="7"/>
      <c r="G99" s="7"/>
      <c r="H99" s="7">
        <f>IF($A99="","",IFERROR(IF(COUNTIFS(Prestamos!$B$4:$B$103,$A99,Prestamos!$I$4:$I$103,"Activo")&gt;0,"Prestado","Disponible"),"Disponible"))</f>
      </c>
      <c r="I99" s="7"/>
      <c r="J99" s="7"/>
    </row>
    <row r="100" spans="1:10" x14ac:dyDescent="0.25">
      <c r="A100" s="7"/>
      <c r="B100" s="7"/>
      <c r="C100" s="7"/>
      <c r="D100" s="7"/>
      <c r="E100" s="7"/>
      <c r="F100" s="7"/>
      <c r="G100" s="7"/>
      <c r="H100" s="7">
        <f>IF($A100="","",IFERROR(IF(COUNTIFS(Prestamos!$B$4:$B$103,$A100,Prestamos!$I$4:$I$103,"Activo")&gt;0,"Prestado","Disponible"),"Disponible"))</f>
      </c>
      <c r="I100" s="7"/>
      <c r="J100" s="7"/>
    </row>
    <row r="101" spans="1:10" x14ac:dyDescent="0.25">
      <c r="A101" s="7"/>
      <c r="B101" s="7"/>
      <c r="C101" s="7"/>
      <c r="D101" s="7"/>
      <c r="E101" s="7"/>
      <c r="F101" s="7"/>
      <c r="G101" s="7"/>
      <c r="H101" s="7">
        <f>IF($A101="","",IFERROR(IF(COUNTIFS(Prestamos!$B$4:$B$103,$A101,Prestamos!$I$4:$I$103,"Activo")&gt;0,"Prestado","Disponible"),"Disponible"))</f>
      </c>
      <c r="I101" s="7"/>
      <c r="J101" s="7"/>
    </row>
    <row r="102" spans="1:10" x14ac:dyDescent="0.25">
      <c r="A102" s="7"/>
      <c r="B102" s="7"/>
      <c r="C102" s="7"/>
      <c r="D102" s="7"/>
      <c r="E102" s="7"/>
      <c r="F102" s="7"/>
      <c r="G102" s="7"/>
      <c r="H102" s="7">
        <f>IF($A102="","",IFERROR(IF(COUNTIFS(Prestamos!$B$4:$B$103,$A102,Prestamos!$I$4:$I$103,"Activo")&gt;0,"Prestado","Disponible"),"Disponible"))</f>
      </c>
      <c r="I102" s="7"/>
      <c r="J102" s="7"/>
    </row>
    <row r="103" spans="1:10" x14ac:dyDescent="0.25">
      <c r="A103" s="7"/>
      <c r="B103" s="7"/>
      <c r="C103" s="7"/>
      <c r="D103" s="7"/>
      <c r="E103" s="7"/>
      <c r="F103" s="7"/>
      <c r="G103" s="7"/>
      <c r="H103" s="7">
        <f>IF($A103="","",IFERROR(IF(COUNTIFS(Prestamos!$B$4:$B$103,$A103,Prestamos!$I$4:$I$103,"Activo")&gt;0,"Prestado","Disponible"),"Disponible"))</f>
      </c>
      <c r="I103" s="7"/>
      <c r="J103" s="7"/>
    </row>
    <row r="105" spans="1:1" x14ac:dyDescent="0.25">
      <c r="A105" s="8" t="s">
        <v>35</v>
      </c>
    </row>
  </sheetData>
  <mergeCells count="1">
    <mergeCell ref="A1:J1"/>
  </mergeCells>
  <dataValidations count="6">
    <dataValidation type="list" allowBlank="1" sqref="D10:D103">
      <formula1>"Topografia,Instrumentacion y control,Electrica,Mecanica,Mineria y metalurgia,Otros"</formula1>
    </dataValidation>
    <dataValidation type="list" allowBlank="1" sqref="D3:D103">
      <formula1>"Topografia,Instrumentacion y control,Electrica,Mecanica,Mineria y metalurgia,Otros"</formula1>
    </dataValidation>
    <dataValidation type="list" allowBlank="1" sqref="F10:F103">
      <formula1>"Bueno,Regular,Necesita mantenimiento,Fuera de servicio"</formula1>
    </dataValidation>
    <dataValidation type="list" allowBlank="1" sqref="F3:F103">
      <formula1>"Bueno,Regular,Necesita mantenimiento,Fuera de servicio"</formula1>
    </dataValidation>
    <dataValidation type="list" allowBlank="1" sqref="G10:G103">
      <formula1>"Topografia,Instrumentacion,Electrica,Mecanica/Mineria,Taller / mantenimiento,Revision de devoluciones,Inventario general"</formula1>
    </dataValidation>
    <dataValidation type="list" allowBlank="1" sqref="G3:G103">
      <formula1>"Topografia,Instrumentacion,Electrica,Mecanica/Mineria,Taller / mantenimiento,Revision de devoluciones,Inventario general"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5"/>
  <sheetViews>
    <sheetView workbookViewId="0" showGridLines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3" customWidth="1"/>
    <col min="3" max="4" width="18" customWidth="1"/>
    <col min="5" max="5" width="16" customWidth="1"/>
    <col min="6" max="6" width="15" customWidth="1"/>
    <col min="7" max="8" width="18" customWidth="1"/>
    <col min="9" max="10" width="14" customWidth="1"/>
    <col min="11" max="11" width="26" customWidth="1"/>
  </cols>
  <sheetData>
    <row r="1" ht="22" customHeight="1" spans="1:11" x14ac:dyDescent="0.25">
      <c r="A1" s="4" t="s">
        <v>36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ht="30" customHeight="1" spans="1:11" x14ac:dyDescent="0.25">
      <c r="A2" s="5" t="s">
        <v>37</v>
      </c>
      <c r="B2" s="5" t="s">
        <v>38</v>
      </c>
      <c r="C2" s="5" t="s">
        <v>19</v>
      </c>
      <c r="D2" s="5" t="s">
        <v>39</v>
      </c>
      <c r="E2" s="5" t="s">
        <v>40</v>
      </c>
      <c r="F2" s="5" t="s">
        <v>41</v>
      </c>
      <c r="G2" s="5" t="s">
        <v>42</v>
      </c>
      <c r="H2" s="5" t="s">
        <v>43</v>
      </c>
      <c r="I2" s="5" t="s">
        <v>44</v>
      </c>
      <c r="J2" s="5" t="s">
        <v>45</v>
      </c>
      <c r="K2" s="5" t="s">
        <v>27</v>
      </c>
    </row>
    <row r="3" spans="1:11" x14ac:dyDescent="0.25">
      <c r="A3" s="6" t="s">
        <v>46</v>
      </c>
      <c r="B3" s="6" t="s">
        <v>28</v>
      </c>
      <c r="C3" s="6">
        <f>IFERROR(INDEX(Inventario!$B$4:$B$103,MATCH($B3,Inventario!$A$4:$A$103,0)),"")</f>
      </c>
      <c r="D3" s="6" t="s">
        <v>47</v>
      </c>
      <c r="E3" s="6" t="s">
        <v>48</v>
      </c>
      <c r="F3" s="9" t="s">
        <v>49</v>
      </c>
      <c r="G3" s="9" t="s">
        <v>50</v>
      </c>
      <c r="H3" s="9"/>
      <c r="I3" s="6">
        <f>IF($B3="","",IF($H3&lt;&gt;"","Devuelto",IF(TODAY()&gt;$G3,"Atrasado","Activo")))</f>
      </c>
      <c r="J3" s="6"/>
      <c r="K3" s="6" t="s">
        <v>34</v>
      </c>
    </row>
    <row r="4" spans="1:11" x14ac:dyDescent="0.25">
      <c r="A4" s="7"/>
      <c r="B4" s="7"/>
      <c r="C4" s="7">
        <f>IF($B4="","",IFERROR(INDEX(Inventario!$B$4:$B$103,MATCH($B4,Inventario!$A$4:$A$103,0)),"ID no encontrado"))</f>
      </c>
      <c r="D4" s="7"/>
      <c r="E4" s="7"/>
      <c r="F4" s="10"/>
      <c r="G4" s="10"/>
      <c r="H4" s="10"/>
      <c r="I4" s="7">
        <f>IF($B4="","",IF($H4&lt;&gt;"","Devuelto",IF(TODAY()&gt;$G4,"Atrasado","Activo")))</f>
      </c>
      <c r="J4" s="7"/>
      <c r="K4" s="7"/>
    </row>
    <row r="5" spans="1:11" x14ac:dyDescent="0.25">
      <c r="A5" s="7"/>
      <c r="B5" s="7"/>
      <c r="C5" s="7">
        <f>IF($B5="","",IFERROR(INDEX(Inventario!$B$4:$B$103,MATCH($B5,Inventario!$A$4:$A$103,0)),"ID no encontrado"))</f>
      </c>
      <c r="D5" s="7"/>
      <c r="E5" s="7"/>
      <c r="F5" s="10"/>
      <c r="G5" s="10"/>
      <c r="H5" s="10"/>
      <c r="I5" s="7">
        <f>IF($B5="","",IF($H5&lt;&gt;"","Devuelto",IF(TODAY()&gt;$G5,"Atrasado","Activo")))</f>
      </c>
      <c r="J5" s="7"/>
      <c r="K5" s="7"/>
    </row>
    <row r="6" spans="1:11" x14ac:dyDescent="0.25">
      <c r="A6" s="7"/>
      <c r="B6" s="7"/>
      <c r="C6" s="7">
        <f>IF($B6="","",IFERROR(INDEX(Inventario!$B$4:$B$103,MATCH($B6,Inventario!$A$4:$A$103,0)),"ID no encontrado"))</f>
      </c>
      <c r="D6" s="7"/>
      <c r="E6" s="7"/>
      <c r="F6" s="10"/>
      <c r="G6" s="10"/>
      <c r="H6" s="10"/>
      <c r="I6" s="7">
        <f>IF($B6="","",IF($H6&lt;&gt;"","Devuelto",IF(TODAY()&gt;$G6,"Atrasado","Activo")))</f>
      </c>
      <c r="J6" s="7"/>
      <c r="K6" s="7"/>
    </row>
    <row r="7" spans="1:11" x14ac:dyDescent="0.25">
      <c r="A7" s="7"/>
      <c r="B7" s="7"/>
      <c r="C7" s="7">
        <f>IF($B7="","",IFERROR(INDEX(Inventario!$B$4:$B$103,MATCH($B7,Inventario!$A$4:$A$103,0)),"ID no encontrado"))</f>
      </c>
      <c r="D7" s="7"/>
      <c r="E7" s="7"/>
      <c r="F7" s="10"/>
      <c r="G7" s="10"/>
      <c r="H7" s="10"/>
      <c r="I7" s="7">
        <f>IF($B7="","",IF($H7&lt;&gt;"","Devuelto",IF(TODAY()&gt;$G7,"Atrasado","Activo")))</f>
      </c>
      <c r="J7" s="7"/>
      <c r="K7" s="7"/>
    </row>
    <row r="8" spans="1:11" x14ac:dyDescent="0.25">
      <c r="A8" s="7"/>
      <c r="B8" s="7"/>
      <c r="C8" s="7">
        <f>IF($B8="","",IFERROR(INDEX(Inventario!$B$4:$B$103,MATCH($B8,Inventario!$A$4:$A$103,0)),"ID no encontrado"))</f>
      </c>
      <c r="D8" s="7"/>
      <c r="E8" s="7"/>
      <c r="F8" s="10"/>
      <c r="G8" s="10"/>
      <c r="H8" s="10"/>
      <c r="I8" s="7">
        <f>IF($B8="","",IF($H8&lt;&gt;"","Devuelto",IF(TODAY()&gt;$G8,"Atrasado","Activo")))</f>
      </c>
      <c r="J8" s="7"/>
      <c r="K8" s="7"/>
    </row>
    <row r="9" spans="1:11" x14ac:dyDescent="0.25">
      <c r="A9" s="7"/>
      <c r="B9" s="7"/>
      <c r="C9" s="7">
        <f>IF($B9="","",IFERROR(INDEX(Inventario!$B$4:$B$103,MATCH($B9,Inventario!$A$4:$A$103,0)),"ID no encontrado"))</f>
      </c>
      <c r="D9" s="7"/>
      <c r="E9" s="7"/>
      <c r="F9" s="10"/>
      <c r="G9" s="10"/>
      <c r="H9" s="10"/>
      <c r="I9" s="7">
        <f>IF($B9="","",IF($H9&lt;&gt;"","Devuelto",IF(TODAY()&gt;$G9,"Atrasado","Activo")))</f>
      </c>
      <c r="J9" s="7"/>
      <c r="K9" s="7"/>
    </row>
    <row r="10" spans="1:11" x14ac:dyDescent="0.25">
      <c r="A10" s="7"/>
      <c r="B10" s="7"/>
      <c r="C10" s="7">
        <f>IF($B10="","",IFERROR(INDEX(Inventario!$B$4:$B$103,MATCH($B10,Inventario!$A$4:$A$103,0)),"ID no encontrado"))</f>
      </c>
      <c r="D10" s="7"/>
      <c r="E10" s="7"/>
      <c r="F10" s="10"/>
      <c r="G10" s="10"/>
      <c r="H10" s="10"/>
      <c r="I10" s="7">
        <f>IF($B10="","",IF($H10&lt;&gt;"","Devuelto",IF(TODAY()&gt;$G10,"Atrasado","Activo")))</f>
      </c>
      <c r="J10" s="7"/>
      <c r="K10" s="7"/>
    </row>
    <row r="11" spans="1:11" x14ac:dyDescent="0.25">
      <c r="A11" s="7"/>
      <c r="B11" s="7"/>
      <c r="C11" s="7">
        <f>IF($B11="","",IFERROR(INDEX(Inventario!$B$4:$B$103,MATCH($B11,Inventario!$A$4:$A$103,0)),"ID no encontrado"))</f>
      </c>
      <c r="D11" s="7"/>
      <c r="E11" s="7"/>
      <c r="F11" s="10"/>
      <c r="G11" s="10"/>
      <c r="H11" s="10"/>
      <c r="I11" s="7">
        <f>IF($B11="","",IF($H11&lt;&gt;"","Devuelto",IF(TODAY()&gt;$G11,"Atrasado","Activo")))</f>
      </c>
      <c r="J11" s="7"/>
      <c r="K11" s="7"/>
    </row>
    <row r="12" spans="1:11" x14ac:dyDescent="0.25">
      <c r="A12" s="7"/>
      <c r="B12" s="7"/>
      <c r="C12" s="7">
        <f>IF($B12="","",IFERROR(INDEX(Inventario!$B$4:$B$103,MATCH($B12,Inventario!$A$4:$A$103,0)),"ID no encontrado"))</f>
      </c>
      <c r="D12" s="7"/>
      <c r="E12" s="7"/>
      <c r="F12" s="10"/>
      <c r="G12" s="10"/>
      <c r="H12" s="10"/>
      <c r="I12" s="7">
        <f>IF($B12="","",IF($H12&lt;&gt;"","Devuelto",IF(TODAY()&gt;$G12,"Atrasado","Activo")))</f>
      </c>
      <c r="J12" s="7"/>
      <c r="K12" s="7"/>
    </row>
    <row r="13" spans="1:11" x14ac:dyDescent="0.25">
      <c r="A13" s="7"/>
      <c r="B13" s="7"/>
      <c r="C13" s="7">
        <f>IF($B13="","",IFERROR(INDEX(Inventario!$B$4:$B$103,MATCH($B13,Inventario!$A$4:$A$103,0)),"ID no encontrado"))</f>
      </c>
      <c r="D13" s="7"/>
      <c r="E13" s="7"/>
      <c r="F13" s="10"/>
      <c r="G13" s="10"/>
      <c r="H13" s="10"/>
      <c r="I13" s="7">
        <f>IF($B13="","",IF($H13&lt;&gt;"","Devuelto",IF(TODAY()&gt;$G13,"Atrasado","Activo")))</f>
      </c>
      <c r="J13" s="7"/>
      <c r="K13" s="7"/>
    </row>
    <row r="14" spans="1:11" x14ac:dyDescent="0.25">
      <c r="A14" s="7"/>
      <c r="B14" s="7"/>
      <c r="C14" s="7">
        <f>IF($B14="","",IFERROR(INDEX(Inventario!$B$4:$B$103,MATCH($B14,Inventario!$A$4:$A$103,0)),"ID no encontrado"))</f>
      </c>
      <c r="D14" s="7"/>
      <c r="E14" s="7"/>
      <c r="F14" s="10"/>
      <c r="G14" s="10"/>
      <c r="H14" s="10"/>
      <c r="I14" s="7">
        <f>IF($B14="","",IF($H14&lt;&gt;"","Devuelto",IF(TODAY()&gt;$G14,"Atrasado","Activo")))</f>
      </c>
      <c r="J14" s="7"/>
      <c r="K14" s="7"/>
    </row>
    <row r="15" spans="1:11" x14ac:dyDescent="0.25">
      <c r="A15" s="7"/>
      <c r="B15" s="7"/>
      <c r="C15" s="7">
        <f>IF($B15="","",IFERROR(INDEX(Inventario!$B$4:$B$103,MATCH($B15,Inventario!$A$4:$A$103,0)),"ID no encontrado"))</f>
      </c>
      <c r="D15" s="7"/>
      <c r="E15" s="7"/>
      <c r="F15" s="10"/>
      <c r="G15" s="10"/>
      <c r="H15" s="10"/>
      <c r="I15" s="7">
        <f>IF($B15="","",IF($H15&lt;&gt;"","Devuelto",IF(TODAY()&gt;$G15,"Atrasado","Activo")))</f>
      </c>
      <c r="J15" s="7"/>
      <c r="K15" s="7"/>
    </row>
    <row r="16" spans="1:11" x14ac:dyDescent="0.25">
      <c r="A16" s="7"/>
      <c r="B16" s="7"/>
      <c r="C16" s="7">
        <f>IF($B16="","",IFERROR(INDEX(Inventario!$B$4:$B$103,MATCH($B16,Inventario!$A$4:$A$103,0)),"ID no encontrado"))</f>
      </c>
      <c r="D16" s="7"/>
      <c r="E16" s="7"/>
      <c r="F16" s="10"/>
      <c r="G16" s="10"/>
      <c r="H16" s="10"/>
      <c r="I16" s="7">
        <f>IF($B16="","",IF($H16&lt;&gt;"","Devuelto",IF(TODAY()&gt;$G16,"Atrasado","Activo")))</f>
      </c>
      <c r="J16" s="7"/>
      <c r="K16" s="7"/>
    </row>
    <row r="17" spans="1:11" x14ac:dyDescent="0.25">
      <c r="A17" s="7"/>
      <c r="B17" s="7"/>
      <c r="C17" s="7">
        <f>IF($B17="","",IFERROR(INDEX(Inventario!$B$4:$B$103,MATCH($B17,Inventario!$A$4:$A$103,0)),"ID no encontrado"))</f>
      </c>
      <c r="D17" s="7"/>
      <c r="E17" s="7"/>
      <c r="F17" s="10"/>
      <c r="G17" s="10"/>
      <c r="H17" s="10"/>
      <c r="I17" s="7">
        <f>IF($B17="","",IF($H17&lt;&gt;"","Devuelto",IF(TODAY()&gt;$G17,"Atrasado","Activo")))</f>
      </c>
      <c r="J17" s="7"/>
      <c r="K17" s="7"/>
    </row>
    <row r="18" spans="1:11" x14ac:dyDescent="0.25">
      <c r="A18" s="7"/>
      <c r="B18" s="7"/>
      <c r="C18" s="7">
        <f>IF($B18="","",IFERROR(INDEX(Inventario!$B$4:$B$103,MATCH($B18,Inventario!$A$4:$A$103,0)),"ID no encontrado"))</f>
      </c>
      <c r="D18" s="7"/>
      <c r="E18" s="7"/>
      <c r="F18" s="10"/>
      <c r="G18" s="10"/>
      <c r="H18" s="10"/>
      <c r="I18" s="7">
        <f>IF($B18="","",IF($H18&lt;&gt;"","Devuelto",IF(TODAY()&gt;$G18,"Atrasado","Activo")))</f>
      </c>
      <c r="J18" s="7"/>
      <c r="K18" s="7"/>
    </row>
    <row r="19" spans="1:11" x14ac:dyDescent="0.25">
      <c r="A19" s="7"/>
      <c r="B19" s="7"/>
      <c r="C19" s="7">
        <f>IF($B19="","",IFERROR(INDEX(Inventario!$B$4:$B$103,MATCH($B19,Inventario!$A$4:$A$103,0)),"ID no encontrado"))</f>
      </c>
      <c r="D19" s="7"/>
      <c r="E19" s="7"/>
      <c r="F19" s="10"/>
      <c r="G19" s="10"/>
      <c r="H19" s="10"/>
      <c r="I19" s="7">
        <f>IF($B19="","",IF($H19&lt;&gt;"","Devuelto",IF(TODAY()&gt;$G19,"Atrasado","Activo")))</f>
      </c>
      <c r="J19" s="7"/>
      <c r="K19" s="7"/>
    </row>
    <row r="20" spans="1:11" x14ac:dyDescent="0.25">
      <c r="A20" s="7"/>
      <c r="B20" s="7"/>
      <c r="C20" s="7">
        <f>IF($B20="","",IFERROR(INDEX(Inventario!$B$4:$B$103,MATCH($B20,Inventario!$A$4:$A$103,0)),"ID no encontrado"))</f>
      </c>
      <c r="D20" s="7"/>
      <c r="E20" s="7"/>
      <c r="F20" s="10"/>
      <c r="G20" s="10"/>
      <c r="H20" s="10"/>
      <c r="I20" s="7">
        <f>IF($B20="","",IF($H20&lt;&gt;"","Devuelto",IF(TODAY()&gt;$G20,"Atrasado","Activo")))</f>
      </c>
      <c r="J20" s="7"/>
      <c r="K20" s="7"/>
    </row>
    <row r="21" spans="1:11" x14ac:dyDescent="0.25">
      <c r="A21" s="7"/>
      <c r="B21" s="7"/>
      <c r="C21" s="7">
        <f>IF($B21="","",IFERROR(INDEX(Inventario!$B$4:$B$103,MATCH($B21,Inventario!$A$4:$A$103,0)),"ID no encontrado"))</f>
      </c>
      <c r="D21" s="7"/>
      <c r="E21" s="7"/>
      <c r="F21" s="10"/>
      <c r="G21" s="10"/>
      <c r="H21" s="10"/>
      <c r="I21" s="7">
        <f>IF($B21="","",IF($H21&lt;&gt;"","Devuelto",IF(TODAY()&gt;$G21,"Atrasado","Activo")))</f>
      </c>
      <c r="J21" s="7"/>
      <c r="K21" s="7"/>
    </row>
    <row r="22" spans="1:11" x14ac:dyDescent="0.25">
      <c r="A22" s="7"/>
      <c r="B22" s="7"/>
      <c r="C22" s="7">
        <f>IF($B22="","",IFERROR(INDEX(Inventario!$B$4:$B$103,MATCH($B22,Inventario!$A$4:$A$103,0)),"ID no encontrado"))</f>
      </c>
      <c r="D22" s="7"/>
      <c r="E22" s="7"/>
      <c r="F22" s="10"/>
      <c r="G22" s="10"/>
      <c r="H22" s="10"/>
      <c r="I22" s="7">
        <f>IF($B22="","",IF($H22&lt;&gt;"","Devuelto",IF(TODAY()&gt;$G22,"Atrasado","Activo")))</f>
      </c>
      <c r="J22" s="7"/>
      <c r="K22" s="7"/>
    </row>
    <row r="23" spans="1:11" x14ac:dyDescent="0.25">
      <c r="A23" s="7"/>
      <c r="B23" s="7"/>
      <c r="C23" s="7">
        <f>IF($B23="","",IFERROR(INDEX(Inventario!$B$4:$B$103,MATCH($B23,Inventario!$A$4:$A$103,0)),"ID no encontrado"))</f>
      </c>
      <c r="D23" s="7"/>
      <c r="E23" s="7"/>
      <c r="F23" s="10"/>
      <c r="G23" s="10"/>
      <c r="H23" s="10"/>
      <c r="I23" s="7">
        <f>IF($B23="","",IF($H23&lt;&gt;"","Devuelto",IF(TODAY()&gt;$G23,"Atrasado","Activo")))</f>
      </c>
      <c r="J23" s="7"/>
      <c r="K23" s="7"/>
    </row>
    <row r="24" spans="1:11" x14ac:dyDescent="0.25">
      <c r="A24" s="7"/>
      <c r="B24" s="7"/>
      <c r="C24" s="7">
        <f>IF($B24="","",IFERROR(INDEX(Inventario!$B$4:$B$103,MATCH($B24,Inventario!$A$4:$A$103,0)),"ID no encontrado"))</f>
      </c>
      <c r="D24" s="7"/>
      <c r="E24" s="7"/>
      <c r="F24" s="10"/>
      <c r="G24" s="10"/>
      <c r="H24" s="10"/>
      <c r="I24" s="7">
        <f>IF($B24="","",IF($H24&lt;&gt;"","Devuelto",IF(TODAY()&gt;$G24,"Atrasado","Activo")))</f>
      </c>
      <c r="J24" s="7"/>
      <c r="K24" s="7"/>
    </row>
    <row r="25" spans="1:11" x14ac:dyDescent="0.25">
      <c r="A25" s="7"/>
      <c r="B25" s="7"/>
      <c r="C25" s="7">
        <f>IF($B25="","",IFERROR(INDEX(Inventario!$B$4:$B$103,MATCH($B25,Inventario!$A$4:$A$103,0)),"ID no encontrado"))</f>
      </c>
      <c r="D25" s="7"/>
      <c r="E25" s="7"/>
      <c r="F25" s="10"/>
      <c r="G25" s="10"/>
      <c r="H25" s="10"/>
      <c r="I25" s="7">
        <f>IF($B25="","",IF($H25&lt;&gt;"","Devuelto",IF(TODAY()&gt;$G25,"Atrasado","Activo")))</f>
      </c>
      <c r="J25" s="7"/>
      <c r="K25" s="7"/>
    </row>
    <row r="26" spans="1:11" x14ac:dyDescent="0.25">
      <c r="A26" s="7"/>
      <c r="B26" s="7"/>
      <c r="C26" s="7">
        <f>IF($B26="","",IFERROR(INDEX(Inventario!$B$4:$B$103,MATCH($B26,Inventario!$A$4:$A$103,0)),"ID no encontrado"))</f>
      </c>
      <c r="D26" s="7"/>
      <c r="E26" s="7"/>
      <c r="F26" s="10"/>
      <c r="G26" s="10"/>
      <c r="H26" s="10"/>
      <c r="I26" s="7">
        <f>IF($B26="","",IF($H26&lt;&gt;"","Devuelto",IF(TODAY()&gt;$G26,"Atrasado","Activo")))</f>
      </c>
      <c r="J26" s="7"/>
      <c r="K26" s="7"/>
    </row>
    <row r="27" spans="1:11" x14ac:dyDescent="0.25">
      <c r="A27" s="7"/>
      <c r="B27" s="7"/>
      <c r="C27" s="7">
        <f>IF($B27="","",IFERROR(INDEX(Inventario!$B$4:$B$103,MATCH($B27,Inventario!$A$4:$A$103,0)),"ID no encontrado"))</f>
      </c>
      <c r="D27" s="7"/>
      <c r="E27" s="7"/>
      <c r="F27" s="10"/>
      <c r="G27" s="10"/>
      <c r="H27" s="10"/>
      <c r="I27" s="7">
        <f>IF($B27="","",IF($H27&lt;&gt;"","Devuelto",IF(TODAY()&gt;$G27,"Atrasado","Activo")))</f>
      </c>
      <c r="J27" s="7"/>
      <c r="K27" s="7"/>
    </row>
    <row r="28" spans="1:11" x14ac:dyDescent="0.25">
      <c r="A28" s="7"/>
      <c r="B28" s="7"/>
      <c r="C28" s="7">
        <f>IF($B28="","",IFERROR(INDEX(Inventario!$B$4:$B$103,MATCH($B28,Inventario!$A$4:$A$103,0)),"ID no encontrado"))</f>
      </c>
      <c r="D28" s="7"/>
      <c r="E28" s="7"/>
      <c r="F28" s="10"/>
      <c r="G28" s="10"/>
      <c r="H28" s="10"/>
      <c r="I28" s="7">
        <f>IF($B28="","",IF($H28&lt;&gt;"","Devuelto",IF(TODAY()&gt;$G28,"Atrasado","Activo")))</f>
      </c>
      <c r="J28" s="7"/>
      <c r="K28" s="7"/>
    </row>
    <row r="29" spans="1:11" x14ac:dyDescent="0.25">
      <c r="A29" s="7"/>
      <c r="B29" s="7"/>
      <c r="C29" s="7">
        <f>IF($B29="","",IFERROR(INDEX(Inventario!$B$4:$B$103,MATCH($B29,Inventario!$A$4:$A$103,0)),"ID no encontrado"))</f>
      </c>
      <c r="D29" s="7"/>
      <c r="E29" s="7"/>
      <c r="F29" s="10"/>
      <c r="G29" s="10"/>
      <c r="H29" s="10"/>
      <c r="I29" s="7">
        <f>IF($B29="","",IF($H29&lt;&gt;"","Devuelto",IF(TODAY()&gt;$G29,"Atrasado","Activo")))</f>
      </c>
      <c r="J29" s="7"/>
      <c r="K29" s="7"/>
    </row>
    <row r="30" spans="1:11" x14ac:dyDescent="0.25">
      <c r="A30" s="7"/>
      <c r="B30" s="7"/>
      <c r="C30" s="7">
        <f>IF($B30="","",IFERROR(INDEX(Inventario!$B$4:$B$103,MATCH($B30,Inventario!$A$4:$A$103,0)),"ID no encontrado"))</f>
      </c>
      <c r="D30" s="7"/>
      <c r="E30" s="7"/>
      <c r="F30" s="10"/>
      <c r="G30" s="10"/>
      <c r="H30" s="10"/>
      <c r="I30" s="7">
        <f>IF($B30="","",IF($H30&lt;&gt;"","Devuelto",IF(TODAY()&gt;$G30,"Atrasado","Activo")))</f>
      </c>
      <c r="J30" s="7"/>
      <c r="K30" s="7"/>
    </row>
    <row r="31" spans="1:11" x14ac:dyDescent="0.25">
      <c r="A31" s="7"/>
      <c r="B31" s="7"/>
      <c r="C31" s="7">
        <f>IF($B31="","",IFERROR(INDEX(Inventario!$B$4:$B$103,MATCH($B31,Inventario!$A$4:$A$103,0)),"ID no encontrado"))</f>
      </c>
      <c r="D31" s="7"/>
      <c r="E31" s="7"/>
      <c r="F31" s="10"/>
      <c r="G31" s="10"/>
      <c r="H31" s="10"/>
      <c r="I31" s="7">
        <f>IF($B31="","",IF($H31&lt;&gt;"","Devuelto",IF(TODAY()&gt;$G31,"Atrasado","Activo")))</f>
      </c>
      <c r="J31" s="7"/>
      <c r="K31" s="7"/>
    </row>
    <row r="32" spans="1:11" x14ac:dyDescent="0.25">
      <c r="A32" s="7"/>
      <c r="B32" s="7"/>
      <c r="C32" s="7">
        <f>IF($B32="","",IFERROR(INDEX(Inventario!$B$4:$B$103,MATCH($B32,Inventario!$A$4:$A$103,0)),"ID no encontrado"))</f>
      </c>
      <c r="D32" s="7"/>
      <c r="E32" s="7"/>
      <c r="F32" s="10"/>
      <c r="G32" s="10"/>
      <c r="H32" s="10"/>
      <c r="I32" s="7">
        <f>IF($B32="","",IF($H32&lt;&gt;"","Devuelto",IF(TODAY()&gt;$G32,"Atrasado","Activo")))</f>
      </c>
      <c r="J32" s="7"/>
      <c r="K32" s="7"/>
    </row>
    <row r="33" spans="1:11" x14ac:dyDescent="0.25">
      <c r="A33" s="7"/>
      <c r="B33" s="7"/>
      <c r="C33" s="7">
        <f>IF($B33="","",IFERROR(INDEX(Inventario!$B$4:$B$103,MATCH($B33,Inventario!$A$4:$A$103,0)),"ID no encontrado"))</f>
      </c>
      <c r="D33" s="7"/>
      <c r="E33" s="7"/>
      <c r="F33" s="10"/>
      <c r="G33" s="10"/>
      <c r="H33" s="10"/>
      <c r="I33" s="7">
        <f>IF($B33="","",IF($H33&lt;&gt;"","Devuelto",IF(TODAY()&gt;$G33,"Atrasado","Activo")))</f>
      </c>
      <c r="J33" s="7"/>
      <c r="K33" s="7"/>
    </row>
    <row r="34" spans="1:11" x14ac:dyDescent="0.25">
      <c r="A34" s="7"/>
      <c r="B34" s="7"/>
      <c r="C34" s="7">
        <f>IF($B34="","",IFERROR(INDEX(Inventario!$B$4:$B$103,MATCH($B34,Inventario!$A$4:$A$103,0)),"ID no encontrado"))</f>
      </c>
      <c r="D34" s="7"/>
      <c r="E34" s="7"/>
      <c r="F34" s="10"/>
      <c r="G34" s="10"/>
      <c r="H34" s="10"/>
      <c r="I34" s="7">
        <f>IF($B34="","",IF($H34&lt;&gt;"","Devuelto",IF(TODAY()&gt;$G34,"Atrasado","Activo")))</f>
      </c>
      <c r="J34" s="7"/>
      <c r="K34" s="7"/>
    </row>
    <row r="35" spans="1:11" x14ac:dyDescent="0.25">
      <c r="A35" s="7"/>
      <c r="B35" s="7"/>
      <c r="C35" s="7">
        <f>IF($B35="","",IFERROR(INDEX(Inventario!$B$4:$B$103,MATCH($B35,Inventario!$A$4:$A$103,0)),"ID no encontrado"))</f>
      </c>
      <c r="D35" s="7"/>
      <c r="E35" s="7"/>
      <c r="F35" s="10"/>
      <c r="G35" s="10"/>
      <c r="H35" s="10"/>
      <c r="I35" s="7">
        <f>IF($B35="","",IF($H35&lt;&gt;"","Devuelto",IF(TODAY()&gt;$G35,"Atrasado","Activo")))</f>
      </c>
      <c r="J35" s="7"/>
      <c r="K35" s="7"/>
    </row>
    <row r="36" spans="1:11" x14ac:dyDescent="0.25">
      <c r="A36" s="7"/>
      <c r="B36" s="7"/>
      <c r="C36" s="7">
        <f>IF($B36="","",IFERROR(INDEX(Inventario!$B$4:$B$103,MATCH($B36,Inventario!$A$4:$A$103,0)),"ID no encontrado"))</f>
      </c>
      <c r="D36" s="7"/>
      <c r="E36" s="7"/>
      <c r="F36" s="10"/>
      <c r="G36" s="10"/>
      <c r="H36" s="10"/>
      <c r="I36" s="7">
        <f>IF($B36="","",IF($H36&lt;&gt;"","Devuelto",IF(TODAY()&gt;$G36,"Atrasado","Activo")))</f>
      </c>
      <c r="J36" s="7"/>
      <c r="K36" s="7"/>
    </row>
    <row r="37" spans="1:11" x14ac:dyDescent="0.25">
      <c r="A37" s="7"/>
      <c r="B37" s="7"/>
      <c r="C37" s="7">
        <f>IF($B37="","",IFERROR(INDEX(Inventario!$B$4:$B$103,MATCH($B37,Inventario!$A$4:$A$103,0)),"ID no encontrado"))</f>
      </c>
      <c r="D37" s="7"/>
      <c r="E37" s="7"/>
      <c r="F37" s="10"/>
      <c r="G37" s="10"/>
      <c r="H37" s="10"/>
      <c r="I37" s="7">
        <f>IF($B37="","",IF($H37&lt;&gt;"","Devuelto",IF(TODAY()&gt;$G37,"Atrasado","Activo")))</f>
      </c>
      <c r="J37" s="7"/>
      <c r="K37" s="7"/>
    </row>
    <row r="38" spans="1:11" x14ac:dyDescent="0.25">
      <c r="A38" s="7"/>
      <c r="B38" s="7"/>
      <c r="C38" s="7">
        <f>IF($B38="","",IFERROR(INDEX(Inventario!$B$4:$B$103,MATCH($B38,Inventario!$A$4:$A$103,0)),"ID no encontrado"))</f>
      </c>
      <c r="D38" s="7"/>
      <c r="E38" s="7"/>
      <c r="F38" s="10"/>
      <c r="G38" s="10"/>
      <c r="H38" s="10"/>
      <c r="I38" s="7">
        <f>IF($B38="","",IF($H38&lt;&gt;"","Devuelto",IF(TODAY()&gt;$G38,"Atrasado","Activo")))</f>
      </c>
      <c r="J38" s="7"/>
      <c r="K38" s="7"/>
    </row>
    <row r="39" spans="1:11" x14ac:dyDescent="0.25">
      <c r="A39" s="7"/>
      <c r="B39" s="7"/>
      <c r="C39" s="7">
        <f>IF($B39="","",IFERROR(INDEX(Inventario!$B$4:$B$103,MATCH($B39,Inventario!$A$4:$A$103,0)),"ID no encontrado"))</f>
      </c>
      <c r="D39" s="7"/>
      <c r="E39" s="7"/>
      <c r="F39" s="10"/>
      <c r="G39" s="10"/>
      <c r="H39" s="10"/>
      <c r="I39" s="7">
        <f>IF($B39="","",IF($H39&lt;&gt;"","Devuelto",IF(TODAY()&gt;$G39,"Atrasado","Activo")))</f>
      </c>
      <c r="J39" s="7"/>
      <c r="K39" s="7"/>
    </row>
    <row r="40" spans="1:11" x14ac:dyDescent="0.25">
      <c r="A40" s="7"/>
      <c r="B40" s="7"/>
      <c r="C40" s="7">
        <f>IF($B40="","",IFERROR(INDEX(Inventario!$B$4:$B$103,MATCH($B40,Inventario!$A$4:$A$103,0)),"ID no encontrado"))</f>
      </c>
      <c r="D40" s="7"/>
      <c r="E40" s="7"/>
      <c r="F40" s="10"/>
      <c r="G40" s="10"/>
      <c r="H40" s="10"/>
      <c r="I40" s="7">
        <f>IF($B40="","",IF($H40&lt;&gt;"","Devuelto",IF(TODAY()&gt;$G40,"Atrasado","Activo")))</f>
      </c>
      <c r="J40" s="7"/>
      <c r="K40" s="7"/>
    </row>
    <row r="41" spans="1:11" x14ac:dyDescent="0.25">
      <c r="A41" s="7"/>
      <c r="B41" s="7"/>
      <c r="C41" s="7">
        <f>IF($B41="","",IFERROR(INDEX(Inventario!$B$4:$B$103,MATCH($B41,Inventario!$A$4:$A$103,0)),"ID no encontrado"))</f>
      </c>
      <c r="D41" s="7"/>
      <c r="E41" s="7"/>
      <c r="F41" s="10"/>
      <c r="G41" s="10"/>
      <c r="H41" s="10"/>
      <c r="I41" s="7">
        <f>IF($B41="","",IF($H41&lt;&gt;"","Devuelto",IF(TODAY()&gt;$G41,"Atrasado","Activo")))</f>
      </c>
      <c r="J41" s="7"/>
      <c r="K41" s="7"/>
    </row>
    <row r="42" spans="1:11" x14ac:dyDescent="0.25">
      <c r="A42" s="7"/>
      <c r="B42" s="7"/>
      <c r="C42" s="7">
        <f>IF($B42="","",IFERROR(INDEX(Inventario!$B$4:$B$103,MATCH($B42,Inventario!$A$4:$A$103,0)),"ID no encontrado"))</f>
      </c>
      <c r="D42" s="7"/>
      <c r="E42" s="7"/>
      <c r="F42" s="10"/>
      <c r="G42" s="10"/>
      <c r="H42" s="10"/>
      <c r="I42" s="7">
        <f>IF($B42="","",IF($H42&lt;&gt;"","Devuelto",IF(TODAY()&gt;$G42,"Atrasado","Activo")))</f>
      </c>
      <c r="J42" s="7"/>
      <c r="K42" s="7"/>
    </row>
    <row r="43" spans="1:11" x14ac:dyDescent="0.25">
      <c r="A43" s="7"/>
      <c r="B43" s="7"/>
      <c r="C43" s="7">
        <f>IF($B43="","",IFERROR(INDEX(Inventario!$B$4:$B$103,MATCH($B43,Inventario!$A$4:$A$103,0)),"ID no encontrado"))</f>
      </c>
      <c r="D43" s="7"/>
      <c r="E43" s="7"/>
      <c r="F43" s="10"/>
      <c r="G43" s="10"/>
      <c r="H43" s="10"/>
      <c r="I43" s="7">
        <f>IF($B43="","",IF($H43&lt;&gt;"","Devuelto",IF(TODAY()&gt;$G43,"Atrasado","Activo")))</f>
      </c>
      <c r="J43" s="7"/>
      <c r="K43" s="7"/>
    </row>
    <row r="44" spans="1:11" x14ac:dyDescent="0.25">
      <c r="A44" s="7"/>
      <c r="B44" s="7"/>
      <c r="C44" s="7">
        <f>IF($B44="","",IFERROR(INDEX(Inventario!$B$4:$B$103,MATCH($B44,Inventario!$A$4:$A$103,0)),"ID no encontrado"))</f>
      </c>
      <c r="D44" s="7"/>
      <c r="E44" s="7"/>
      <c r="F44" s="10"/>
      <c r="G44" s="10"/>
      <c r="H44" s="10"/>
      <c r="I44" s="7">
        <f>IF($B44="","",IF($H44&lt;&gt;"","Devuelto",IF(TODAY()&gt;$G44,"Atrasado","Activo")))</f>
      </c>
      <c r="J44" s="7"/>
      <c r="K44" s="7"/>
    </row>
    <row r="45" spans="1:11" x14ac:dyDescent="0.25">
      <c r="A45" s="7"/>
      <c r="B45" s="7"/>
      <c r="C45" s="7">
        <f>IF($B45="","",IFERROR(INDEX(Inventario!$B$4:$B$103,MATCH($B45,Inventario!$A$4:$A$103,0)),"ID no encontrado"))</f>
      </c>
      <c r="D45" s="7"/>
      <c r="E45" s="7"/>
      <c r="F45" s="10"/>
      <c r="G45" s="10"/>
      <c r="H45" s="10"/>
      <c r="I45" s="7">
        <f>IF($B45="","",IF($H45&lt;&gt;"","Devuelto",IF(TODAY()&gt;$G45,"Atrasado","Activo")))</f>
      </c>
      <c r="J45" s="7"/>
      <c r="K45" s="7"/>
    </row>
    <row r="46" spans="1:11" x14ac:dyDescent="0.25">
      <c r="A46" s="7"/>
      <c r="B46" s="7"/>
      <c r="C46" s="7">
        <f>IF($B46="","",IFERROR(INDEX(Inventario!$B$4:$B$103,MATCH($B46,Inventario!$A$4:$A$103,0)),"ID no encontrado"))</f>
      </c>
      <c r="D46" s="7"/>
      <c r="E46" s="7"/>
      <c r="F46" s="10"/>
      <c r="G46" s="10"/>
      <c r="H46" s="10"/>
      <c r="I46" s="7">
        <f>IF($B46="","",IF($H46&lt;&gt;"","Devuelto",IF(TODAY()&gt;$G46,"Atrasado","Activo")))</f>
      </c>
      <c r="J46" s="7"/>
      <c r="K46" s="7"/>
    </row>
    <row r="47" spans="1:11" x14ac:dyDescent="0.25">
      <c r="A47" s="7"/>
      <c r="B47" s="7"/>
      <c r="C47" s="7">
        <f>IF($B47="","",IFERROR(INDEX(Inventario!$B$4:$B$103,MATCH($B47,Inventario!$A$4:$A$103,0)),"ID no encontrado"))</f>
      </c>
      <c r="D47" s="7"/>
      <c r="E47" s="7"/>
      <c r="F47" s="10"/>
      <c r="G47" s="10"/>
      <c r="H47" s="10"/>
      <c r="I47" s="7">
        <f>IF($B47="","",IF($H47&lt;&gt;"","Devuelto",IF(TODAY()&gt;$G47,"Atrasado","Activo")))</f>
      </c>
      <c r="J47" s="7"/>
      <c r="K47" s="7"/>
    </row>
    <row r="48" spans="1:11" x14ac:dyDescent="0.25">
      <c r="A48" s="7"/>
      <c r="B48" s="7"/>
      <c r="C48" s="7">
        <f>IF($B48="","",IFERROR(INDEX(Inventario!$B$4:$B$103,MATCH($B48,Inventario!$A$4:$A$103,0)),"ID no encontrado"))</f>
      </c>
      <c r="D48" s="7"/>
      <c r="E48" s="7"/>
      <c r="F48" s="10"/>
      <c r="G48" s="10"/>
      <c r="H48" s="10"/>
      <c r="I48" s="7">
        <f>IF($B48="","",IF($H48&lt;&gt;"","Devuelto",IF(TODAY()&gt;$G48,"Atrasado","Activo")))</f>
      </c>
      <c r="J48" s="7"/>
      <c r="K48" s="7"/>
    </row>
    <row r="49" spans="1:11" x14ac:dyDescent="0.25">
      <c r="A49" s="7"/>
      <c r="B49" s="7"/>
      <c r="C49" s="7">
        <f>IF($B49="","",IFERROR(INDEX(Inventario!$B$4:$B$103,MATCH($B49,Inventario!$A$4:$A$103,0)),"ID no encontrado"))</f>
      </c>
      <c r="D49" s="7"/>
      <c r="E49" s="7"/>
      <c r="F49" s="10"/>
      <c r="G49" s="10"/>
      <c r="H49" s="10"/>
      <c r="I49" s="7">
        <f>IF($B49="","",IF($H49&lt;&gt;"","Devuelto",IF(TODAY()&gt;$G49,"Atrasado","Activo")))</f>
      </c>
      <c r="J49" s="7"/>
      <c r="K49" s="7"/>
    </row>
    <row r="50" spans="1:11" x14ac:dyDescent="0.25">
      <c r="A50" s="7"/>
      <c r="B50" s="7"/>
      <c r="C50" s="7">
        <f>IF($B50="","",IFERROR(INDEX(Inventario!$B$4:$B$103,MATCH($B50,Inventario!$A$4:$A$103,0)),"ID no encontrado"))</f>
      </c>
      <c r="D50" s="7"/>
      <c r="E50" s="7"/>
      <c r="F50" s="10"/>
      <c r="G50" s="10"/>
      <c r="H50" s="10"/>
      <c r="I50" s="7">
        <f>IF($B50="","",IF($H50&lt;&gt;"","Devuelto",IF(TODAY()&gt;$G50,"Atrasado","Activo")))</f>
      </c>
      <c r="J50" s="7"/>
      <c r="K50" s="7"/>
    </row>
    <row r="51" spans="1:11" x14ac:dyDescent="0.25">
      <c r="A51" s="7"/>
      <c r="B51" s="7"/>
      <c r="C51" s="7">
        <f>IF($B51="","",IFERROR(INDEX(Inventario!$B$4:$B$103,MATCH($B51,Inventario!$A$4:$A$103,0)),"ID no encontrado"))</f>
      </c>
      <c r="D51" s="7"/>
      <c r="E51" s="7"/>
      <c r="F51" s="10"/>
      <c r="G51" s="10"/>
      <c r="H51" s="10"/>
      <c r="I51" s="7">
        <f>IF($B51="","",IF($H51&lt;&gt;"","Devuelto",IF(TODAY()&gt;$G51,"Atrasado","Activo")))</f>
      </c>
      <c r="J51" s="7"/>
      <c r="K51" s="7"/>
    </row>
    <row r="52" spans="1:11" x14ac:dyDescent="0.25">
      <c r="A52" s="7"/>
      <c r="B52" s="7"/>
      <c r="C52" s="7">
        <f>IF($B52="","",IFERROR(INDEX(Inventario!$B$4:$B$103,MATCH($B52,Inventario!$A$4:$A$103,0)),"ID no encontrado"))</f>
      </c>
      <c r="D52" s="7"/>
      <c r="E52" s="7"/>
      <c r="F52" s="10"/>
      <c r="G52" s="10"/>
      <c r="H52" s="10"/>
      <c r="I52" s="7">
        <f>IF($B52="","",IF($H52&lt;&gt;"","Devuelto",IF(TODAY()&gt;$G52,"Atrasado","Activo")))</f>
      </c>
      <c r="J52" s="7"/>
      <c r="K52" s="7"/>
    </row>
    <row r="53" spans="1:11" x14ac:dyDescent="0.25">
      <c r="A53" s="7"/>
      <c r="B53" s="7"/>
      <c r="C53" s="7">
        <f>IF($B53="","",IFERROR(INDEX(Inventario!$B$4:$B$103,MATCH($B53,Inventario!$A$4:$A$103,0)),"ID no encontrado"))</f>
      </c>
      <c r="D53" s="7"/>
      <c r="E53" s="7"/>
      <c r="F53" s="10"/>
      <c r="G53" s="10"/>
      <c r="H53" s="10"/>
      <c r="I53" s="7">
        <f>IF($B53="","",IF($H53&lt;&gt;"","Devuelto",IF(TODAY()&gt;$G53,"Atrasado","Activo")))</f>
      </c>
      <c r="J53" s="7"/>
      <c r="K53" s="7"/>
    </row>
    <row r="54" spans="1:11" x14ac:dyDescent="0.25">
      <c r="A54" s="7"/>
      <c r="B54" s="7"/>
      <c r="C54" s="7">
        <f>IF($B54="","",IFERROR(INDEX(Inventario!$B$4:$B$103,MATCH($B54,Inventario!$A$4:$A$103,0)),"ID no encontrado"))</f>
      </c>
      <c r="D54" s="7"/>
      <c r="E54" s="7"/>
      <c r="F54" s="10"/>
      <c r="G54" s="10"/>
      <c r="H54" s="10"/>
      <c r="I54" s="7">
        <f>IF($B54="","",IF($H54&lt;&gt;"","Devuelto",IF(TODAY()&gt;$G54,"Atrasado","Activo")))</f>
      </c>
      <c r="J54" s="7"/>
      <c r="K54" s="7"/>
    </row>
    <row r="55" spans="1:11" x14ac:dyDescent="0.25">
      <c r="A55" s="7"/>
      <c r="B55" s="7"/>
      <c r="C55" s="7">
        <f>IF($B55="","",IFERROR(INDEX(Inventario!$B$4:$B$103,MATCH($B55,Inventario!$A$4:$A$103,0)),"ID no encontrado"))</f>
      </c>
      <c r="D55" s="7"/>
      <c r="E55" s="7"/>
      <c r="F55" s="10"/>
      <c r="G55" s="10"/>
      <c r="H55" s="10"/>
      <c r="I55" s="7">
        <f>IF($B55="","",IF($H55&lt;&gt;"","Devuelto",IF(TODAY()&gt;$G55,"Atrasado","Activo")))</f>
      </c>
      <c r="J55" s="7"/>
      <c r="K55" s="7"/>
    </row>
    <row r="56" spans="1:11" x14ac:dyDescent="0.25">
      <c r="A56" s="7"/>
      <c r="B56" s="7"/>
      <c r="C56" s="7">
        <f>IF($B56="","",IFERROR(INDEX(Inventario!$B$4:$B$103,MATCH($B56,Inventario!$A$4:$A$103,0)),"ID no encontrado"))</f>
      </c>
      <c r="D56" s="7"/>
      <c r="E56" s="7"/>
      <c r="F56" s="10"/>
      <c r="G56" s="10"/>
      <c r="H56" s="10"/>
      <c r="I56" s="7">
        <f>IF($B56="","",IF($H56&lt;&gt;"","Devuelto",IF(TODAY()&gt;$G56,"Atrasado","Activo")))</f>
      </c>
      <c r="J56" s="7"/>
      <c r="K56" s="7"/>
    </row>
    <row r="57" spans="1:11" x14ac:dyDescent="0.25">
      <c r="A57" s="7"/>
      <c r="B57" s="7"/>
      <c r="C57" s="7">
        <f>IF($B57="","",IFERROR(INDEX(Inventario!$B$4:$B$103,MATCH($B57,Inventario!$A$4:$A$103,0)),"ID no encontrado"))</f>
      </c>
      <c r="D57" s="7"/>
      <c r="E57" s="7"/>
      <c r="F57" s="10"/>
      <c r="G57" s="10"/>
      <c r="H57" s="10"/>
      <c r="I57" s="7">
        <f>IF($B57="","",IF($H57&lt;&gt;"","Devuelto",IF(TODAY()&gt;$G57,"Atrasado","Activo")))</f>
      </c>
      <c r="J57" s="7"/>
      <c r="K57" s="7"/>
    </row>
    <row r="58" spans="1:11" x14ac:dyDescent="0.25">
      <c r="A58" s="7"/>
      <c r="B58" s="7"/>
      <c r="C58" s="7">
        <f>IF($B58="","",IFERROR(INDEX(Inventario!$B$4:$B$103,MATCH($B58,Inventario!$A$4:$A$103,0)),"ID no encontrado"))</f>
      </c>
      <c r="D58" s="7"/>
      <c r="E58" s="7"/>
      <c r="F58" s="10"/>
      <c r="G58" s="10"/>
      <c r="H58" s="10"/>
      <c r="I58" s="7">
        <f>IF($B58="","",IF($H58&lt;&gt;"","Devuelto",IF(TODAY()&gt;$G58,"Atrasado","Activo")))</f>
      </c>
      <c r="J58" s="7"/>
      <c r="K58" s="7"/>
    </row>
    <row r="59" spans="1:11" x14ac:dyDescent="0.25">
      <c r="A59" s="7"/>
      <c r="B59" s="7"/>
      <c r="C59" s="7">
        <f>IF($B59="","",IFERROR(INDEX(Inventario!$B$4:$B$103,MATCH($B59,Inventario!$A$4:$A$103,0)),"ID no encontrado"))</f>
      </c>
      <c r="D59" s="7"/>
      <c r="E59" s="7"/>
      <c r="F59" s="10"/>
      <c r="G59" s="10"/>
      <c r="H59" s="10"/>
      <c r="I59" s="7">
        <f>IF($B59="","",IF($H59&lt;&gt;"","Devuelto",IF(TODAY()&gt;$G59,"Atrasado","Activo")))</f>
      </c>
      <c r="J59" s="7"/>
      <c r="K59" s="7"/>
    </row>
    <row r="60" spans="1:11" x14ac:dyDescent="0.25">
      <c r="A60" s="7"/>
      <c r="B60" s="7"/>
      <c r="C60" s="7">
        <f>IF($B60="","",IFERROR(INDEX(Inventario!$B$4:$B$103,MATCH($B60,Inventario!$A$4:$A$103,0)),"ID no encontrado"))</f>
      </c>
      <c r="D60" s="7"/>
      <c r="E60" s="7"/>
      <c r="F60" s="10"/>
      <c r="G60" s="10"/>
      <c r="H60" s="10"/>
      <c r="I60" s="7">
        <f>IF($B60="","",IF($H60&lt;&gt;"","Devuelto",IF(TODAY()&gt;$G60,"Atrasado","Activo")))</f>
      </c>
      <c r="J60" s="7"/>
      <c r="K60" s="7"/>
    </row>
    <row r="61" spans="1:11" x14ac:dyDescent="0.25">
      <c r="A61" s="7"/>
      <c r="B61" s="7"/>
      <c r="C61" s="7">
        <f>IF($B61="","",IFERROR(INDEX(Inventario!$B$4:$B$103,MATCH($B61,Inventario!$A$4:$A$103,0)),"ID no encontrado"))</f>
      </c>
      <c r="D61" s="7"/>
      <c r="E61" s="7"/>
      <c r="F61" s="10"/>
      <c r="G61" s="10"/>
      <c r="H61" s="10"/>
      <c r="I61" s="7">
        <f>IF($B61="","",IF($H61&lt;&gt;"","Devuelto",IF(TODAY()&gt;$G61,"Atrasado","Activo")))</f>
      </c>
      <c r="J61" s="7"/>
      <c r="K61" s="7"/>
    </row>
    <row r="62" spans="1:11" x14ac:dyDescent="0.25">
      <c r="A62" s="7"/>
      <c r="B62" s="7"/>
      <c r="C62" s="7">
        <f>IF($B62="","",IFERROR(INDEX(Inventario!$B$4:$B$103,MATCH($B62,Inventario!$A$4:$A$103,0)),"ID no encontrado"))</f>
      </c>
      <c r="D62" s="7"/>
      <c r="E62" s="7"/>
      <c r="F62" s="10"/>
      <c r="G62" s="10"/>
      <c r="H62" s="10"/>
      <c r="I62" s="7">
        <f>IF($B62="","",IF($H62&lt;&gt;"","Devuelto",IF(TODAY()&gt;$G62,"Atrasado","Activo")))</f>
      </c>
      <c r="J62" s="7"/>
      <c r="K62" s="7"/>
    </row>
    <row r="63" spans="1:11" x14ac:dyDescent="0.25">
      <c r="A63" s="7"/>
      <c r="B63" s="7"/>
      <c r="C63" s="7">
        <f>IF($B63="","",IFERROR(INDEX(Inventario!$B$4:$B$103,MATCH($B63,Inventario!$A$4:$A$103,0)),"ID no encontrado"))</f>
      </c>
      <c r="D63" s="7"/>
      <c r="E63" s="7"/>
      <c r="F63" s="10"/>
      <c r="G63" s="10"/>
      <c r="H63" s="10"/>
      <c r="I63" s="7">
        <f>IF($B63="","",IF($H63&lt;&gt;"","Devuelto",IF(TODAY()&gt;$G63,"Atrasado","Activo")))</f>
      </c>
      <c r="J63" s="7"/>
      <c r="K63" s="7"/>
    </row>
    <row r="64" spans="1:11" x14ac:dyDescent="0.25">
      <c r="A64" s="7"/>
      <c r="B64" s="7"/>
      <c r="C64" s="7">
        <f>IF($B64="","",IFERROR(INDEX(Inventario!$B$4:$B$103,MATCH($B64,Inventario!$A$4:$A$103,0)),"ID no encontrado"))</f>
      </c>
      <c r="D64" s="7"/>
      <c r="E64" s="7"/>
      <c r="F64" s="10"/>
      <c r="G64" s="10"/>
      <c r="H64" s="10"/>
      <c r="I64" s="7">
        <f>IF($B64="","",IF($H64&lt;&gt;"","Devuelto",IF(TODAY()&gt;$G64,"Atrasado","Activo")))</f>
      </c>
      <c r="J64" s="7"/>
      <c r="K64" s="7"/>
    </row>
    <row r="65" spans="1:11" x14ac:dyDescent="0.25">
      <c r="A65" s="7"/>
      <c r="B65" s="7"/>
      <c r="C65" s="7">
        <f>IF($B65="","",IFERROR(INDEX(Inventario!$B$4:$B$103,MATCH($B65,Inventario!$A$4:$A$103,0)),"ID no encontrado"))</f>
      </c>
      <c r="D65" s="7"/>
      <c r="E65" s="7"/>
      <c r="F65" s="10"/>
      <c r="G65" s="10"/>
      <c r="H65" s="10"/>
      <c r="I65" s="7">
        <f>IF($B65="","",IF($H65&lt;&gt;"","Devuelto",IF(TODAY()&gt;$G65,"Atrasado","Activo")))</f>
      </c>
      <c r="J65" s="7"/>
      <c r="K65" s="7"/>
    </row>
    <row r="66" spans="1:11" x14ac:dyDescent="0.25">
      <c r="A66" s="7"/>
      <c r="B66" s="7"/>
      <c r="C66" s="7">
        <f>IF($B66="","",IFERROR(INDEX(Inventario!$B$4:$B$103,MATCH($B66,Inventario!$A$4:$A$103,0)),"ID no encontrado"))</f>
      </c>
      <c r="D66" s="7"/>
      <c r="E66" s="7"/>
      <c r="F66" s="10"/>
      <c r="G66" s="10"/>
      <c r="H66" s="10"/>
      <c r="I66" s="7">
        <f>IF($B66="","",IF($H66&lt;&gt;"","Devuelto",IF(TODAY()&gt;$G66,"Atrasado","Activo")))</f>
      </c>
      <c r="J66" s="7"/>
      <c r="K66" s="7"/>
    </row>
    <row r="67" spans="1:11" x14ac:dyDescent="0.25">
      <c r="A67" s="7"/>
      <c r="B67" s="7"/>
      <c r="C67" s="7">
        <f>IF($B67="","",IFERROR(INDEX(Inventario!$B$4:$B$103,MATCH($B67,Inventario!$A$4:$A$103,0)),"ID no encontrado"))</f>
      </c>
      <c r="D67" s="7"/>
      <c r="E67" s="7"/>
      <c r="F67" s="10"/>
      <c r="G67" s="10"/>
      <c r="H67" s="10"/>
      <c r="I67" s="7">
        <f>IF($B67="","",IF($H67&lt;&gt;"","Devuelto",IF(TODAY()&gt;$G67,"Atrasado","Activo")))</f>
      </c>
      <c r="J67" s="7"/>
      <c r="K67" s="7"/>
    </row>
    <row r="68" spans="1:11" x14ac:dyDescent="0.25">
      <c r="A68" s="7"/>
      <c r="B68" s="7"/>
      <c r="C68" s="7">
        <f>IF($B68="","",IFERROR(INDEX(Inventario!$B$4:$B$103,MATCH($B68,Inventario!$A$4:$A$103,0)),"ID no encontrado"))</f>
      </c>
      <c r="D68" s="7"/>
      <c r="E68" s="7"/>
      <c r="F68" s="10"/>
      <c r="G68" s="10"/>
      <c r="H68" s="10"/>
      <c r="I68" s="7">
        <f>IF($B68="","",IF($H68&lt;&gt;"","Devuelto",IF(TODAY()&gt;$G68,"Atrasado","Activo")))</f>
      </c>
      <c r="J68" s="7"/>
      <c r="K68" s="7"/>
    </row>
    <row r="69" spans="1:11" x14ac:dyDescent="0.25">
      <c r="A69" s="7"/>
      <c r="B69" s="7"/>
      <c r="C69" s="7">
        <f>IF($B69="","",IFERROR(INDEX(Inventario!$B$4:$B$103,MATCH($B69,Inventario!$A$4:$A$103,0)),"ID no encontrado"))</f>
      </c>
      <c r="D69" s="7"/>
      <c r="E69" s="7"/>
      <c r="F69" s="10"/>
      <c r="G69" s="10"/>
      <c r="H69" s="10"/>
      <c r="I69" s="7">
        <f>IF($B69="","",IF($H69&lt;&gt;"","Devuelto",IF(TODAY()&gt;$G69,"Atrasado","Activo")))</f>
      </c>
      <c r="J69" s="7"/>
      <c r="K69" s="7"/>
    </row>
    <row r="70" spans="1:11" x14ac:dyDescent="0.25">
      <c r="A70" s="7"/>
      <c r="B70" s="7"/>
      <c r="C70" s="7">
        <f>IF($B70="","",IFERROR(INDEX(Inventario!$B$4:$B$103,MATCH($B70,Inventario!$A$4:$A$103,0)),"ID no encontrado"))</f>
      </c>
      <c r="D70" s="7"/>
      <c r="E70" s="7"/>
      <c r="F70" s="10"/>
      <c r="G70" s="10"/>
      <c r="H70" s="10"/>
      <c r="I70" s="7">
        <f>IF($B70="","",IF($H70&lt;&gt;"","Devuelto",IF(TODAY()&gt;$G70,"Atrasado","Activo")))</f>
      </c>
      <c r="J70" s="7"/>
      <c r="K70" s="7"/>
    </row>
    <row r="71" spans="1:11" x14ac:dyDescent="0.25">
      <c r="A71" s="7"/>
      <c r="B71" s="7"/>
      <c r="C71" s="7">
        <f>IF($B71="","",IFERROR(INDEX(Inventario!$B$4:$B$103,MATCH($B71,Inventario!$A$4:$A$103,0)),"ID no encontrado"))</f>
      </c>
      <c r="D71" s="7"/>
      <c r="E71" s="7"/>
      <c r="F71" s="10"/>
      <c r="G71" s="10"/>
      <c r="H71" s="10"/>
      <c r="I71" s="7">
        <f>IF($B71="","",IF($H71&lt;&gt;"","Devuelto",IF(TODAY()&gt;$G71,"Atrasado","Activo")))</f>
      </c>
      <c r="J71" s="7"/>
      <c r="K71" s="7"/>
    </row>
    <row r="72" spans="1:11" x14ac:dyDescent="0.25">
      <c r="A72" s="7"/>
      <c r="B72" s="7"/>
      <c r="C72" s="7">
        <f>IF($B72="","",IFERROR(INDEX(Inventario!$B$4:$B$103,MATCH($B72,Inventario!$A$4:$A$103,0)),"ID no encontrado"))</f>
      </c>
      <c r="D72" s="7"/>
      <c r="E72" s="7"/>
      <c r="F72" s="10"/>
      <c r="G72" s="10"/>
      <c r="H72" s="10"/>
      <c r="I72" s="7">
        <f>IF($B72="","",IF($H72&lt;&gt;"","Devuelto",IF(TODAY()&gt;$G72,"Atrasado","Activo")))</f>
      </c>
      <c r="J72" s="7"/>
      <c r="K72" s="7"/>
    </row>
    <row r="73" spans="1:11" x14ac:dyDescent="0.25">
      <c r="A73" s="7"/>
      <c r="B73" s="7"/>
      <c r="C73" s="7">
        <f>IF($B73="","",IFERROR(INDEX(Inventario!$B$4:$B$103,MATCH($B73,Inventario!$A$4:$A$103,0)),"ID no encontrado"))</f>
      </c>
      <c r="D73" s="7"/>
      <c r="E73" s="7"/>
      <c r="F73" s="10"/>
      <c r="G73" s="10"/>
      <c r="H73" s="10"/>
      <c r="I73" s="7">
        <f>IF($B73="","",IF($H73&lt;&gt;"","Devuelto",IF(TODAY()&gt;$G73,"Atrasado","Activo")))</f>
      </c>
      <c r="J73" s="7"/>
      <c r="K73" s="7"/>
    </row>
    <row r="74" spans="1:11" x14ac:dyDescent="0.25">
      <c r="A74" s="7"/>
      <c r="B74" s="7"/>
      <c r="C74" s="7">
        <f>IF($B74="","",IFERROR(INDEX(Inventario!$B$4:$B$103,MATCH($B74,Inventario!$A$4:$A$103,0)),"ID no encontrado"))</f>
      </c>
      <c r="D74" s="7"/>
      <c r="E74" s="7"/>
      <c r="F74" s="10"/>
      <c r="G74" s="10"/>
      <c r="H74" s="10"/>
      <c r="I74" s="7">
        <f>IF($B74="","",IF($H74&lt;&gt;"","Devuelto",IF(TODAY()&gt;$G74,"Atrasado","Activo")))</f>
      </c>
      <c r="J74" s="7"/>
      <c r="K74" s="7"/>
    </row>
    <row r="75" spans="1:11" x14ac:dyDescent="0.25">
      <c r="A75" s="7"/>
      <c r="B75" s="7"/>
      <c r="C75" s="7">
        <f>IF($B75="","",IFERROR(INDEX(Inventario!$B$4:$B$103,MATCH($B75,Inventario!$A$4:$A$103,0)),"ID no encontrado"))</f>
      </c>
      <c r="D75" s="7"/>
      <c r="E75" s="7"/>
      <c r="F75" s="10"/>
      <c r="G75" s="10"/>
      <c r="H75" s="10"/>
      <c r="I75" s="7">
        <f>IF($B75="","",IF($H75&lt;&gt;"","Devuelto",IF(TODAY()&gt;$G75,"Atrasado","Activo")))</f>
      </c>
      <c r="J75" s="7"/>
      <c r="K75" s="7"/>
    </row>
    <row r="76" spans="1:11" x14ac:dyDescent="0.25">
      <c r="A76" s="7"/>
      <c r="B76" s="7"/>
      <c r="C76" s="7">
        <f>IF($B76="","",IFERROR(INDEX(Inventario!$B$4:$B$103,MATCH($B76,Inventario!$A$4:$A$103,0)),"ID no encontrado"))</f>
      </c>
      <c r="D76" s="7"/>
      <c r="E76" s="7"/>
      <c r="F76" s="10"/>
      <c r="G76" s="10"/>
      <c r="H76" s="10"/>
      <c r="I76" s="7">
        <f>IF($B76="","",IF($H76&lt;&gt;"","Devuelto",IF(TODAY()&gt;$G76,"Atrasado","Activo")))</f>
      </c>
      <c r="J76" s="7"/>
      <c r="K76" s="7"/>
    </row>
    <row r="77" spans="1:11" x14ac:dyDescent="0.25">
      <c r="A77" s="7"/>
      <c r="B77" s="7"/>
      <c r="C77" s="7">
        <f>IF($B77="","",IFERROR(INDEX(Inventario!$B$4:$B$103,MATCH($B77,Inventario!$A$4:$A$103,0)),"ID no encontrado"))</f>
      </c>
      <c r="D77" s="7"/>
      <c r="E77" s="7"/>
      <c r="F77" s="10"/>
      <c r="G77" s="10"/>
      <c r="H77" s="10"/>
      <c r="I77" s="7">
        <f>IF($B77="","",IF($H77&lt;&gt;"","Devuelto",IF(TODAY()&gt;$G77,"Atrasado","Activo")))</f>
      </c>
      <c r="J77" s="7"/>
      <c r="K77" s="7"/>
    </row>
    <row r="78" spans="1:11" x14ac:dyDescent="0.25">
      <c r="A78" s="7"/>
      <c r="B78" s="7"/>
      <c r="C78" s="7">
        <f>IF($B78="","",IFERROR(INDEX(Inventario!$B$4:$B$103,MATCH($B78,Inventario!$A$4:$A$103,0)),"ID no encontrado"))</f>
      </c>
      <c r="D78" s="7"/>
      <c r="E78" s="7"/>
      <c r="F78" s="10"/>
      <c r="G78" s="10"/>
      <c r="H78" s="10"/>
      <c r="I78" s="7">
        <f>IF($B78="","",IF($H78&lt;&gt;"","Devuelto",IF(TODAY()&gt;$G78,"Atrasado","Activo")))</f>
      </c>
      <c r="J78" s="7"/>
      <c r="K78" s="7"/>
    </row>
    <row r="79" spans="1:11" x14ac:dyDescent="0.25">
      <c r="A79" s="7"/>
      <c r="B79" s="7"/>
      <c r="C79" s="7">
        <f>IF($B79="","",IFERROR(INDEX(Inventario!$B$4:$B$103,MATCH($B79,Inventario!$A$4:$A$103,0)),"ID no encontrado"))</f>
      </c>
      <c r="D79" s="7"/>
      <c r="E79" s="7"/>
      <c r="F79" s="10"/>
      <c r="G79" s="10"/>
      <c r="H79" s="10"/>
      <c r="I79" s="7">
        <f>IF($B79="","",IF($H79&lt;&gt;"","Devuelto",IF(TODAY()&gt;$G79,"Atrasado","Activo")))</f>
      </c>
      <c r="J79" s="7"/>
      <c r="K79" s="7"/>
    </row>
    <row r="80" spans="1:11" x14ac:dyDescent="0.25">
      <c r="A80" s="7"/>
      <c r="B80" s="7"/>
      <c r="C80" s="7">
        <f>IF($B80="","",IFERROR(INDEX(Inventario!$B$4:$B$103,MATCH($B80,Inventario!$A$4:$A$103,0)),"ID no encontrado"))</f>
      </c>
      <c r="D80" s="7"/>
      <c r="E80" s="7"/>
      <c r="F80" s="10"/>
      <c r="G80" s="10"/>
      <c r="H80" s="10"/>
      <c r="I80" s="7">
        <f>IF($B80="","",IF($H80&lt;&gt;"","Devuelto",IF(TODAY()&gt;$G80,"Atrasado","Activo")))</f>
      </c>
      <c r="J80" s="7"/>
      <c r="K80" s="7"/>
    </row>
    <row r="81" spans="1:11" x14ac:dyDescent="0.25">
      <c r="A81" s="7"/>
      <c r="B81" s="7"/>
      <c r="C81" s="7">
        <f>IF($B81="","",IFERROR(INDEX(Inventario!$B$4:$B$103,MATCH($B81,Inventario!$A$4:$A$103,0)),"ID no encontrado"))</f>
      </c>
      <c r="D81" s="7"/>
      <c r="E81" s="7"/>
      <c r="F81" s="10"/>
      <c r="G81" s="10"/>
      <c r="H81" s="10"/>
      <c r="I81" s="7">
        <f>IF($B81="","",IF($H81&lt;&gt;"","Devuelto",IF(TODAY()&gt;$G81,"Atrasado","Activo")))</f>
      </c>
      <c r="J81" s="7"/>
      <c r="K81" s="7"/>
    </row>
    <row r="82" spans="1:11" x14ac:dyDescent="0.25">
      <c r="A82" s="7"/>
      <c r="B82" s="7"/>
      <c r="C82" s="7">
        <f>IF($B82="","",IFERROR(INDEX(Inventario!$B$4:$B$103,MATCH($B82,Inventario!$A$4:$A$103,0)),"ID no encontrado"))</f>
      </c>
      <c r="D82" s="7"/>
      <c r="E82" s="7"/>
      <c r="F82" s="10"/>
      <c r="G82" s="10"/>
      <c r="H82" s="10"/>
      <c r="I82" s="7">
        <f>IF($B82="","",IF($H82&lt;&gt;"","Devuelto",IF(TODAY()&gt;$G82,"Atrasado","Activo")))</f>
      </c>
      <c r="J82" s="7"/>
      <c r="K82" s="7"/>
    </row>
    <row r="83" spans="1:11" x14ac:dyDescent="0.25">
      <c r="A83" s="7"/>
      <c r="B83" s="7"/>
      <c r="C83" s="7">
        <f>IF($B83="","",IFERROR(INDEX(Inventario!$B$4:$B$103,MATCH($B83,Inventario!$A$4:$A$103,0)),"ID no encontrado"))</f>
      </c>
      <c r="D83" s="7"/>
      <c r="E83" s="7"/>
      <c r="F83" s="10"/>
      <c r="G83" s="10"/>
      <c r="H83" s="10"/>
      <c r="I83" s="7">
        <f>IF($B83="","",IF($H83&lt;&gt;"","Devuelto",IF(TODAY()&gt;$G83,"Atrasado","Activo")))</f>
      </c>
      <c r="J83" s="7"/>
      <c r="K83" s="7"/>
    </row>
    <row r="84" spans="1:11" x14ac:dyDescent="0.25">
      <c r="A84" s="7"/>
      <c r="B84" s="7"/>
      <c r="C84" s="7">
        <f>IF($B84="","",IFERROR(INDEX(Inventario!$B$4:$B$103,MATCH($B84,Inventario!$A$4:$A$103,0)),"ID no encontrado"))</f>
      </c>
      <c r="D84" s="7"/>
      <c r="E84" s="7"/>
      <c r="F84" s="10"/>
      <c r="G84" s="10"/>
      <c r="H84" s="10"/>
      <c r="I84" s="7">
        <f>IF($B84="","",IF($H84&lt;&gt;"","Devuelto",IF(TODAY()&gt;$G84,"Atrasado","Activo")))</f>
      </c>
      <c r="J84" s="7"/>
      <c r="K84" s="7"/>
    </row>
    <row r="85" spans="1:11" x14ac:dyDescent="0.25">
      <c r="A85" s="7"/>
      <c r="B85" s="7"/>
      <c r="C85" s="7">
        <f>IF($B85="","",IFERROR(INDEX(Inventario!$B$4:$B$103,MATCH($B85,Inventario!$A$4:$A$103,0)),"ID no encontrado"))</f>
      </c>
      <c r="D85" s="7"/>
      <c r="E85" s="7"/>
      <c r="F85" s="10"/>
      <c r="G85" s="10"/>
      <c r="H85" s="10"/>
      <c r="I85" s="7">
        <f>IF($B85="","",IF($H85&lt;&gt;"","Devuelto",IF(TODAY()&gt;$G85,"Atrasado","Activo")))</f>
      </c>
      <c r="J85" s="7"/>
      <c r="K85" s="7"/>
    </row>
    <row r="86" spans="1:11" x14ac:dyDescent="0.25">
      <c r="A86" s="7"/>
      <c r="B86" s="7"/>
      <c r="C86" s="7">
        <f>IF($B86="","",IFERROR(INDEX(Inventario!$B$4:$B$103,MATCH($B86,Inventario!$A$4:$A$103,0)),"ID no encontrado"))</f>
      </c>
      <c r="D86" s="7"/>
      <c r="E86" s="7"/>
      <c r="F86" s="10"/>
      <c r="G86" s="10"/>
      <c r="H86" s="10"/>
      <c r="I86" s="7">
        <f>IF($B86="","",IF($H86&lt;&gt;"","Devuelto",IF(TODAY()&gt;$G86,"Atrasado","Activo")))</f>
      </c>
      <c r="J86" s="7"/>
      <c r="K86" s="7"/>
    </row>
    <row r="87" spans="1:11" x14ac:dyDescent="0.25">
      <c r="A87" s="7"/>
      <c r="B87" s="7"/>
      <c r="C87" s="7">
        <f>IF($B87="","",IFERROR(INDEX(Inventario!$B$4:$B$103,MATCH($B87,Inventario!$A$4:$A$103,0)),"ID no encontrado"))</f>
      </c>
      <c r="D87" s="7"/>
      <c r="E87" s="7"/>
      <c r="F87" s="10"/>
      <c r="G87" s="10"/>
      <c r="H87" s="10"/>
      <c r="I87" s="7">
        <f>IF($B87="","",IF($H87&lt;&gt;"","Devuelto",IF(TODAY()&gt;$G87,"Atrasado","Activo")))</f>
      </c>
      <c r="J87" s="7"/>
      <c r="K87" s="7"/>
    </row>
    <row r="88" spans="1:11" x14ac:dyDescent="0.25">
      <c r="A88" s="7"/>
      <c r="B88" s="7"/>
      <c r="C88" s="7">
        <f>IF($B88="","",IFERROR(INDEX(Inventario!$B$4:$B$103,MATCH($B88,Inventario!$A$4:$A$103,0)),"ID no encontrado"))</f>
      </c>
      <c r="D88" s="7"/>
      <c r="E88" s="7"/>
      <c r="F88" s="10"/>
      <c r="G88" s="10"/>
      <c r="H88" s="10"/>
      <c r="I88" s="7">
        <f>IF($B88="","",IF($H88&lt;&gt;"","Devuelto",IF(TODAY()&gt;$G88,"Atrasado","Activo")))</f>
      </c>
      <c r="J88" s="7"/>
      <c r="K88" s="7"/>
    </row>
    <row r="89" spans="1:11" x14ac:dyDescent="0.25">
      <c r="A89" s="7"/>
      <c r="B89" s="7"/>
      <c r="C89" s="7">
        <f>IF($B89="","",IFERROR(INDEX(Inventario!$B$4:$B$103,MATCH($B89,Inventario!$A$4:$A$103,0)),"ID no encontrado"))</f>
      </c>
      <c r="D89" s="7"/>
      <c r="E89" s="7"/>
      <c r="F89" s="10"/>
      <c r="G89" s="10"/>
      <c r="H89" s="10"/>
      <c r="I89" s="7">
        <f>IF($B89="","",IF($H89&lt;&gt;"","Devuelto",IF(TODAY()&gt;$G89,"Atrasado","Activo")))</f>
      </c>
      <c r="J89" s="7"/>
      <c r="K89" s="7"/>
    </row>
    <row r="90" spans="1:11" x14ac:dyDescent="0.25">
      <c r="A90" s="7"/>
      <c r="B90" s="7"/>
      <c r="C90" s="7">
        <f>IF($B90="","",IFERROR(INDEX(Inventario!$B$4:$B$103,MATCH($B90,Inventario!$A$4:$A$103,0)),"ID no encontrado"))</f>
      </c>
      <c r="D90" s="7"/>
      <c r="E90" s="7"/>
      <c r="F90" s="10"/>
      <c r="G90" s="10"/>
      <c r="H90" s="10"/>
      <c r="I90" s="7">
        <f>IF($B90="","",IF($H90&lt;&gt;"","Devuelto",IF(TODAY()&gt;$G90,"Atrasado","Activo")))</f>
      </c>
      <c r="J90" s="7"/>
      <c r="K90" s="7"/>
    </row>
    <row r="91" spans="1:11" x14ac:dyDescent="0.25">
      <c r="A91" s="7"/>
      <c r="B91" s="7"/>
      <c r="C91" s="7">
        <f>IF($B91="","",IFERROR(INDEX(Inventario!$B$4:$B$103,MATCH($B91,Inventario!$A$4:$A$103,0)),"ID no encontrado"))</f>
      </c>
      <c r="D91" s="7"/>
      <c r="E91" s="7"/>
      <c r="F91" s="10"/>
      <c r="G91" s="10"/>
      <c r="H91" s="10"/>
      <c r="I91" s="7">
        <f>IF($B91="","",IF($H91&lt;&gt;"","Devuelto",IF(TODAY()&gt;$G91,"Atrasado","Activo")))</f>
      </c>
      <c r="J91" s="7"/>
      <c r="K91" s="7"/>
    </row>
    <row r="92" spans="1:11" x14ac:dyDescent="0.25">
      <c r="A92" s="7"/>
      <c r="B92" s="7"/>
      <c r="C92" s="7">
        <f>IF($B92="","",IFERROR(INDEX(Inventario!$B$4:$B$103,MATCH($B92,Inventario!$A$4:$A$103,0)),"ID no encontrado"))</f>
      </c>
      <c r="D92" s="7"/>
      <c r="E92" s="7"/>
      <c r="F92" s="10"/>
      <c r="G92" s="10"/>
      <c r="H92" s="10"/>
      <c r="I92" s="7">
        <f>IF($B92="","",IF($H92&lt;&gt;"","Devuelto",IF(TODAY()&gt;$G92,"Atrasado","Activo")))</f>
      </c>
      <c r="J92" s="7"/>
      <c r="K92" s="7"/>
    </row>
    <row r="93" spans="1:11" x14ac:dyDescent="0.25">
      <c r="A93" s="7"/>
      <c r="B93" s="7"/>
      <c r="C93" s="7">
        <f>IF($B93="","",IFERROR(INDEX(Inventario!$B$4:$B$103,MATCH($B93,Inventario!$A$4:$A$103,0)),"ID no encontrado"))</f>
      </c>
      <c r="D93" s="7"/>
      <c r="E93" s="7"/>
      <c r="F93" s="10"/>
      <c r="G93" s="10"/>
      <c r="H93" s="10"/>
      <c r="I93" s="7">
        <f>IF($B93="","",IF($H93&lt;&gt;"","Devuelto",IF(TODAY()&gt;$G93,"Atrasado","Activo")))</f>
      </c>
      <c r="J93" s="7"/>
      <c r="K93" s="7"/>
    </row>
    <row r="94" spans="1:11" x14ac:dyDescent="0.25">
      <c r="A94" s="7"/>
      <c r="B94" s="7"/>
      <c r="C94" s="7">
        <f>IF($B94="","",IFERROR(INDEX(Inventario!$B$4:$B$103,MATCH($B94,Inventario!$A$4:$A$103,0)),"ID no encontrado"))</f>
      </c>
      <c r="D94" s="7"/>
      <c r="E94" s="7"/>
      <c r="F94" s="10"/>
      <c r="G94" s="10"/>
      <c r="H94" s="10"/>
      <c r="I94" s="7">
        <f>IF($B94="","",IF($H94&lt;&gt;"","Devuelto",IF(TODAY()&gt;$G94,"Atrasado","Activo")))</f>
      </c>
      <c r="J94" s="7"/>
      <c r="K94" s="7"/>
    </row>
    <row r="95" spans="1:11" x14ac:dyDescent="0.25">
      <c r="A95" s="7"/>
      <c r="B95" s="7"/>
      <c r="C95" s="7">
        <f>IF($B95="","",IFERROR(INDEX(Inventario!$B$4:$B$103,MATCH($B95,Inventario!$A$4:$A$103,0)),"ID no encontrado"))</f>
      </c>
      <c r="D95" s="7"/>
      <c r="E95" s="7"/>
      <c r="F95" s="10"/>
      <c r="G95" s="10"/>
      <c r="H95" s="10"/>
      <c r="I95" s="7">
        <f>IF($B95="","",IF($H95&lt;&gt;"","Devuelto",IF(TODAY()&gt;$G95,"Atrasado","Activo")))</f>
      </c>
      <c r="J95" s="7"/>
      <c r="K95" s="7"/>
    </row>
    <row r="96" spans="1:11" x14ac:dyDescent="0.25">
      <c r="A96" s="7"/>
      <c r="B96" s="7"/>
      <c r="C96" s="7">
        <f>IF($B96="","",IFERROR(INDEX(Inventario!$B$4:$B$103,MATCH($B96,Inventario!$A$4:$A$103,0)),"ID no encontrado"))</f>
      </c>
      <c r="D96" s="7"/>
      <c r="E96" s="7"/>
      <c r="F96" s="10"/>
      <c r="G96" s="10"/>
      <c r="H96" s="10"/>
      <c r="I96" s="7">
        <f>IF($B96="","",IF($H96&lt;&gt;"","Devuelto",IF(TODAY()&gt;$G96,"Atrasado","Activo")))</f>
      </c>
      <c r="J96" s="7"/>
      <c r="K96" s="7"/>
    </row>
    <row r="97" spans="1:11" x14ac:dyDescent="0.25">
      <c r="A97" s="7"/>
      <c r="B97" s="7"/>
      <c r="C97" s="7">
        <f>IF($B97="","",IFERROR(INDEX(Inventario!$B$4:$B$103,MATCH($B97,Inventario!$A$4:$A$103,0)),"ID no encontrado"))</f>
      </c>
      <c r="D97" s="7"/>
      <c r="E97" s="7"/>
      <c r="F97" s="10"/>
      <c r="G97" s="10"/>
      <c r="H97" s="10"/>
      <c r="I97" s="7">
        <f>IF($B97="","",IF($H97&lt;&gt;"","Devuelto",IF(TODAY()&gt;$G97,"Atrasado","Activo")))</f>
      </c>
      <c r="J97" s="7"/>
      <c r="K97" s="7"/>
    </row>
    <row r="98" spans="1:11" x14ac:dyDescent="0.25">
      <c r="A98" s="7"/>
      <c r="B98" s="7"/>
      <c r="C98" s="7">
        <f>IF($B98="","",IFERROR(INDEX(Inventario!$B$4:$B$103,MATCH($B98,Inventario!$A$4:$A$103,0)),"ID no encontrado"))</f>
      </c>
      <c r="D98" s="7"/>
      <c r="E98" s="7"/>
      <c r="F98" s="10"/>
      <c r="G98" s="10"/>
      <c r="H98" s="10"/>
      <c r="I98" s="7">
        <f>IF($B98="","",IF($H98&lt;&gt;"","Devuelto",IF(TODAY()&gt;$G98,"Atrasado","Activo")))</f>
      </c>
      <c r="J98" s="7"/>
      <c r="K98" s="7"/>
    </row>
    <row r="99" spans="1:11" x14ac:dyDescent="0.25">
      <c r="A99" s="7"/>
      <c r="B99" s="7"/>
      <c r="C99" s="7">
        <f>IF($B99="","",IFERROR(INDEX(Inventario!$B$4:$B$103,MATCH($B99,Inventario!$A$4:$A$103,0)),"ID no encontrado"))</f>
      </c>
      <c r="D99" s="7"/>
      <c r="E99" s="7"/>
      <c r="F99" s="10"/>
      <c r="G99" s="10"/>
      <c r="H99" s="10"/>
      <c r="I99" s="7">
        <f>IF($B99="","",IF($H99&lt;&gt;"","Devuelto",IF(TODAY()&gt;$G99,"Atrasado","Activo")))</f>
      </c>
      <c r="J99" s="7"/>
      <c r="K99" s="7"/>
    </row>
    <row r="100" spans="1:11" x14ac:dyDescent="0.25">
      <c r="A100" s="7"/>
      <c r="B100" s="7"/>
      <c r="C100" s="7">
        <f>IF($B100="","",IFERROR(INDEX(Inventario!$B$4:$B$103,MATCH($B100,Inventario!$A$4:$A$103,0)),"ID no encontrado"))</f>
      </c>
      <c r="D100" s="7"/>
      <c r="E100" s="7"/>
      <c r="F100" s="10"/>
      <c r="G100" s="10"/>
      <c r="H100" s="10"/>
      <c r="I100" s="7">
        <f>IF($B100="","",IF($H100&lt;&gt;"","Devuelto",IF(TODAY()&gt;$G100,"Atrasado","Activo")))</f>
      </c>
      <c r="J100" s="7"/>
      <c r="K100" s="7"/>
    </row>
    <row r="101" spans="1:11" x14ac:dyDescent="0.25">
      <c r="A101" s="7"/>
      <c r="B101" s="7"/>
      <c r="C101" s="7">
        <f>IF($B101="","",IFERROR(INDEX(Inventario!$B$4:$B$103,MATCH($B101,Inventario!$A$4:$A$103,0)),"ID no encontrado"))</f>
      </c>
      <c r="D101" s="7"/>
      <c r="E101" s="7"/>
      <c r="F101" s="10"/>
      <c r="G101" s="10"/>
      <c r="H101" s="10"/>
      <c r="I101" s="7">
        <f>IF($B101="","",IF($H101&lt;&gt;"","Devuelto",IF(TODAY()&gt;$G101,"Atrasado","Activo")))</f>
      </c>
      <c r="J101" s="7"/>
      <c r="K101" s="7"/>
    </row>
    <row r="102" spans="1:11" x14ac:dyDescent="0.25">
      <c r="A102" s="7"/>
      <c r="B102" s="7"/>
      <c r="C102" s="7">
        <f>IF($B102="","",IFERROR(INDEX(Inventario!$B$4:$B$103,MATCH($B102,Inventario!$A$4:$A$103,0)),"ID no encontrado"))</f>
      </c>
      <c r="D102" s="7"/>
      <c r="E102" s="7"/>
      <c r="F102" s="10"/>
      <c r="G102" s="10"/>
      <c r="H102" s="10"/>
      <c r="I102" s="7">
        <f>IF($B102="","",IF($H102&lt;&gt;"","Devuelto",IF(TODAY()&gt;$G102,"Atrasado","Activo")))</f>
      </c>
      <c r="J102" s="7"/>
      <c r="K102" s="7"/>
    </row>
    <row r="103" spans="1:11" x14ac:dyDescent="0.25">
      <c r="A103" s="7"/>
      <c r="B103" s="7"/>
      <c r="C103" s="7">
        <f>IF($B103="","",IFERROR(INDEX(Inventario!$B$4:$B$103,MATCH($B103,Inventario!$A$4:$A$103,0)),"ID no encontrado"))</f>
      </c>
      <c r="D103" s="7"/>
      <c r="E103" s="7"/>
      <c r="F103" s="10"/>
      <c r="G103" s="10"/>
      <c r="H103" s="10"/>
      <c r="I103" s="7">
        <f>IF($B103="","",IF($H103&lt;&gt;"","Devuelto",IF(TODAY()&gt;$G103,"Atrasado","Activo")))</f>
      </c>
      <c r="J103" s="7"/>
      <c r="K103" s="7"/>
    </row>
    <row r="105" spans="1:1" x14ac:dyDescent="0.25">
      <c r="A105" s="8" t="s">
        <v>51</v>
      </c>
    </row>
  </sheetData>
  <mergeCells count="1">
    <mergeCell ref="A1:K1"/>
  </mergeCells>
  <dataValidations count="2">
    <dataValidation type="list" allowBlank="1" sqref="J10:J103">
      <formula1>"Bueno,Danado,Perdido"</formula1>
    </dataValidation>
    <dataValidation type="list" allowBlank="1" sqref="J3:J103">
      <formula1>"Bueno,Danado,Perdido"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 showGridLines="0"/>
  </sheetViews>
  <sheetFormatPr defaultRowHeight="15" outlineLevelRow="0" outlineLevelCol="0" x14ac:dyDescent="55"/>
  <cols>
    <col min="1" max="1" width="32" customWidth="1"/>
    <col min="2" max="2" width="14" customWidth="1"/>
  </cols>
  <sheetData>
    <row r="1" ht="22" customHeight="1" spans="1:3" x14ac:dyDescent="0.25">
      <c r="A1" s="4" t="s">
        <v>52</v>
      </c>
      <c r="B1" s="4"/>
      <c r="C1" s="4"/>
    </row>
    <row r="3" spans="1:2" x14ac:dyDescent="0.25">
      <c r="A3" s="11" t="s">
        <v>53</v>
      </c>
      <c r="B3" s="12">
        <f>COUNTIF(Inventario!A4:A103,"&lt;&gt;")</f>
      </c>
    </row>
    <row r="4" spans="1:2" x14ac:dyDescent="0.25">
      <c r="A4" s="11" t="s">
        <v>54</v>
      </c>
      <c r="B4" s="12">
        <f>COUNTIF(Inventario!H4:H103,"Disponible")</f>
      </c>
    </row>
    <row r="5" spans="1:2" x14ac:dyDescent="0.25">
      <c r="A5" s="11" t="s">
        <v>55</v>
      </c>
      <c r="B5" s="12">
        <f>COUNTIF(Inventario!H4:H103,"Prestado")</f>
      </c>
    </row>
    <row r="6" spans="1:2" x14ac:dyDescent="0.25">
      <c r="A6" s="11" t="s">
        <v>56</v>
      </c>
      <c r="B6" s="12">
        <f>COUNTIF(Prestamos!I4:I103,"Activo")</f>
      </c>
    </row>
    <row r="7" spans="1:2" x14ac:dyDescent="0.25">
      <c r="A7" s="11" t="s">
        <v>57</v>
      </c>
      <c r="B7" s="12">
        <f>COUNTIF(Prestamos!I4:I103,"Atrasado")</f>
      </c>
    </row>
    <row r="8" spans="1:2" x14ac:dyDescent="0.25">
      <c r="A8" s="11" t="s">
        <v>58</v>
      </c>
      <c r="B8" s="12">
        <f>COUNTIF(Prestamos!I4:I103,"Devuelto")</f>
      </c>
    </row>
    <row r="10" spans="1:1" x14ac:dyDescent="0.25">
      <c r="A10" s="13" t="s">
        <v>59</v>
      </c>
    </row>
    <row r="11" spans="1:2" x14ac:dyDescent="0.25">
      <c r="A11" s="11" t="s">
        <v>31</v>
      </c>
      <c r="B11" s="12">
        <f>COUNTIFS(Inventario!D4:D103,"Topografia")</f>
      </c>
    </row>
    <row r="12" spans="1:2" x14ac:dyDescent="0.25">
      <c r="A12" s="11" t="s">
        <v>60</v>
      </c>
      <c r="B12" s="12">
        <f>COUNTIFS(Inventario!D4:D103,"Instrumentacion y control")</f>
      </c>
    </row>
    <row r="13" spans="1:2" x14ac:dyDescent="0.25">
      <c r="A13" s="11" t="s">
        <v>61</v>
      </c>
      <c r="B13" s="12">
        <f>COUNTIFS(Inventario!D4:D103,"Electrica")</f>
      </c>
    </row>
    <row r="14" spans="1:2" x14ac:dyDescent="0.25">
      <c r="A14" s="11" t="s">
        <v>62</v>
      </c>
      <c r="B14" s="12">
        <f>COUNTIFS(Inventario!D4:D103,"Mecanica")</f>
      </c>
    </row>
    <row r="15" spans="1:2" x14ac:dyDescent="0.25">
      <c r="A15" s="11" t="s">
        <v>63</v>
      </c>
      <c r="B15" s="12">
        <f>COUNTIFS(Inventario!D4:D103,"Mineria y metalurgia")</f>
      </c>
    </row>
    <row r="16" spans="1:2" x14ac:dyDescent="0.25">
      <c r="A16" s="11" t="s">
        <v>64</v>
      </c>
      <c r="B16" s="12">
        <f>COUNTIFS(Inventario!D4:D103,"Otros")</f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Leeme</vt:lpstr>
      <vt:lpstr>Inventario</vt:lpstr>
      <vt:lpstr>Prestamos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2026-10-24T04:42:36Z</dcterms:created>
  <dcterms:modified xsi:type="dcterms:W3CDTF">2026-10-24T04:42:36Z</dcterms:modified>
</cp:coreProperties>
</file>